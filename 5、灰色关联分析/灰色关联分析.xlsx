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01-工作\0. 科思通途\3. 公司基本工作\2. 竞赛\01. 数学建模\1. 数学建模视频\01-数学建模算法精讲\01-韩\05-评价类-灰色关联分析\"/>
    </mc:Choice>
  </mc:AlternateContent>
  <xr:revisionPtr revIDLastSave="0" documentId="13_ncr:1_{1628D570-54E9-4C73-815A-EDE83C0E54BF}" xr6:coauthVersionLast="47" xr6:coauthVersionMax="47" xr10:uidLastSave="{00000000-0000-0000-0000-000000000000}"/>
  <bookViews>
    <workbookView xWindow="15264" yWindow="0" windowWidth="15552" windowHeight="16656" activeTab="1" xr2:uid="{00000000-000D-0000-FFFF-FFFF00000000}"/>
  </bookViews>
  <sheets>
    <sheet name="灰色关联分析1" sheetId="4" r:id="rId1"/>
    <sheet name="灰色关联分析2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7" l="1"/>
  <c r="D29" i="7" l="1"/>
  <c r="H29" i="7" s="1"/>
  <c r="E29" i="7"/>
  <c r="F29" i="7"/>
  <c r="D30" i="7"/>
  <c r="H30" i="7" s="1"/>
  <c r="E30" i="7"/>
  <c r="F30" i="7"/>
  <c r="C30" i="7"/>
  <c r="C29" i="7"/>
  <c r="F9" i="7"/>
  <c r="F18" i="7" s="1"/>
  <c r="E9" i="7"/>
  <c r="E18" i="7" s="1"/>
  <c r="D9" i="7"/>
  <c r="D17" i="7" s="1"/>
  <c r="E17" i="7"/>
  <c r="E16" i="7"/>
  <c r="D16" i="7"/>
  <c r="E15" i="7"/>
  <c r="D15" i="7"/>
  <c r="E14" i="7"/>
  <c r="D14" i="7"/>
  <c r="C9" i="7"/>
  <c r="C18" i="7" s="1"/>
  <c r="D10" i="4"/>
  <c r="D16" i="4" s="1"/>
  <c r="E10" i="4"/>
  <c r="E15" i="4" s="1"/>
  <c r="F10" i="4"/>
  <c r="F17" i="4" s="1"/>
  <c r="C10" i="4"/>
  <c r="C20" i="4" s="1"/>
  <c r="D39" i="7" l="1"/>
  <c r="F36" i="7"/>
  <c r="E35" i="7"/>
  <c r="C36" i="7"/>
  <c r="F39" i="7"/>
  <c r="F37" i="7"/>
  <c r="D37" i="7"/>
  <c r="E36" i="7"/>
  <c r="C39" i="7"/>
  <c r="C35" i="7"/>
  <c r="E39" i="7"/>
  <c r="D38" i="7"/>
  <c r="E37" i="7"/>
  <c r="F35" i="7"/>
  <c r="C38" i="7"/>
  <c r="F38" i="7"/>
  <c r="D35" i="7"/>
  <c r="C37" i="7"/>
  <c r="E38" i="7"/>
  <c r="D36" i="7"/>
  <c r="D18" i="7"/>
  <c r="D19" i="7" s="1"/>
  <c r="C16" i="7"/>
  <c r="F14" i="7"/>
  <c r="F15" i="7"/>
  <c r="E19" i="7"/>
  <c r="F16" i="7"/>
  <c r="C14" i="7"/>
  <c r="C15" i="7"/>
  <c r="C17" i="7"/>
  <c r="F17" i="7"/>
  <c r="C16" i="4"/>
  <c r="C19" i="4"/>
  <c r="D15" i="4"/>
  <c r="D19" i="4"/>
  <c r="D17" i="4"/>
  <c r="F20" i="4"/>
  <c r="F30" i="4" s="1"/>
  <c r="E19" i="4"/>
  <c r="E18" i="4"/>
  <c r="F16" i="4"/>
  <c r="F15" i="4"/>
  <c r="C15" i="4"/>
  <c r="C17" i="4"/>
  <c r="C18" i="4"/>
  <c r="D20" i="4"/>
  <c r="D30" i="4" s="1"/>
  <c r="D18" i="4"/>
  <c r="E20" i="4"/>
  <c r="E30" i="4" s="1"/>
  <c r="F19" i="4"/>
  <c r="F18" i="4"/>
  <c r="E17" i="4"/>
  <c r="E16" i="4"/>
  <c r="C19" i="7" l="1"/>
  <c r="F19" i="7"/>
  <c r="D25" i="7"/>
  <c r="D28" i="7"/>
  <c r="D27" i="7"/>
  <c r="D26" i="7"/>
  <c r="C28" i="7"/>
  <c r="C25" i="7"/>
  <c r="C26" i="7"/>
  <c r="C27" i="7"/>
  <c r="C24" i="7"/>
  <c r="D27" i="4"/>
  <c r="F27" i="4"/>
  <c r="E27" i="4"/>
  <c r="H30" i="4"/>
  <c r="G30" i="4"/>
  <c r="E26" i="4"/>
  <c r="F26" i="4"/>
  <c r="D26" i="4"/>
  <c r="D28" i="4"/>
  <c r="F28" i="4"/>
  <c r="E28" i="4"/>
  <c r="D25" i="4"/>
  <c r="F25" i="4"/>
  <c r="E25" i="4"/>
  <c r="F29" i="4"/>
  <c r="E29" i="4"/>
  <c r="D29" i="4"/>
  <c r="E28" i="7" l="1"/>
  <c r="E26" i="7"/>
  <c r="E24" i="7"/>
  <c r="E27" i="7"/>
  <c r="E25" i="7"/>
  <c r="F28" i="7"/>
  <c r="F24" i="7"/>
  <c r="F27" i="7"/>
  <c r="F26" i="7"/>
  <c r="F25" i="7"/>
  <c r="H28" i="4"/>
  <c r="G28" i="4"/>
  <c r="H25" i="4"/>
  <c r="G25" i="4"/>
  <c r="G29" i="4"/>
  <c r="H29" i="4"/>
  <c r="G26" i="4"/>
  <c r="H26" i="4"/>
  <c r="H27" i="4"/>
  <c r="G27" i="4"/>
  <c r="G31" i="4" l="1"/>
  <c r="H31" i="4"/>
  <c r="F39" i="4" l="1"/>
  <c r="E39" i="4"/>
  <c r="F38" i="4"/>
  <c r="E38" i="4"/>
  <c r="F37" i="4"/>
  <c r="E37" i="4"/>
  <c r="F36" i="4"/>
  <c r="E36" i="4"/>
  <c r="F35" i="4"/>
  <c r="E35" i="4"/>
  <c r="D35" i="4"/>
  <c r="D40" i="4"/>
  <c r="D39" i="4"/>
  <c r="D38" i="4"/>
  <c r="D37" i="4"/>
  <c r="D36" i="4"/>
  <c r="F40" i="4"/>
  <c r="E40" i="4"/>
  <c r="G37" i="7"/>
  <c r="E41" i="4" l="1"/>
  <c r="D41" i="4"/>
  <c r="F41" i="4"/>
  <c r="G36" i="7"/>
  <c r="G38" i="7"/>
  <c r="G39" i="7"/>
  <c r="G35" i="7"/>
</calcChain>
</file>

<file path=xl/sharedStrings.xml><?xml version="1.0" encoding="utf-8"?>
<sst xmlns="http://schemas.openxmlformats.org/spreadsheetml/2006/main" count="96" uniqueCount="34">
  <si>
    <t>第1步</t>
    <phoneticPr fontId="1" type="noConversion"/>
  </si>
  <si>
    <t>第2步</t>
    <phoneticPr fontId="1" type="noConversion"/>
  </si>
  <si>
    <t>第3步</t>
    <phoneticPr fontId="1" type="noConversion"/>
  </si>
  <si>
    <t>销售额主要因素分析</t>
    <phoneticPr fontId="1" type="noConversion"/>
  </si>
  <si>
    <t>月份</t>
  </si>
  <si>
    <t>销售额</t>
  </si>
  <si>
    <t>广告投放</t>
  </si>
  <si>
    <t>产品价格</t>
  </si>
  <si>
    <t>客户满意度</t>
  </si>
  <si>
    <t>均值</t>
    <phoneticPr fontId="1" type="noConversion"/>
  </si>
  <si>
    <t>计算与母序列的差值</t>
    <phoneticPr fontId="1" type="noConversion"/>
  </si>
  <si>
    <t>/</t>
    <phoneticPr fontId="1" type="noConversion"/>
  </si>
  <si>
    <t>求关联度</t>
    <phoneticPr fontId="1" type="noConversion"/>
  </si>
  <si>
    <t>ρ=</t>
    <phoneticPr fontId="1" type="noConversion"/>
  </si>
  <si>
    <t>评估城市的公共服务水平</t>
    <phoneticPr fontId="1" type="noConversion"/>
  </si>
  <si>
    <t>城市</t>
    <phoneticPr fontId="1" type="noConversion"/>
  </si>
  <si>
    <t>医疗资源</t>
    <phoneticPr fontId="1" type="noConversion"/>
  </si>
  <si>
    <t>教育投入</t>
    <phoneticPr fontId="1" type="noConversion"/>
  </si>
  <si>
    <t>文化设施面积</t>
    <phoneticPr fontId="1" type="noConversion"/>
  </si>
  <si>
    <t>公共交通满意度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</si>
  <si>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</si>
  <si>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</si>
  <si>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</si>
  <si>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</si>
  <si>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</si>
  <si>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MIN</t>
    <phoneticPr fontId="1" type="noConversion"/>
  </si>
  <si>
    <t>MAX</t>
    <phoneticPr fontId="1" type="noConversion"/>
  </si>
  <si>
    <t>均值</t>
    <phoneticPr fontId="1" type="noConversion"/>
  </si>
  <si>
    <t>MAX·MAX</t>
    <phoneticPr fontId="1" type="noConversion"/>
  </si>
  <si>
    <t>MIN·MIN</t>
    <phoneticPr fontId="1" type="noConversion"/>
  </si>
  <si>
    <t>正向化、统一量纲</t>
    <phoneticPr fontId="1" type="noConversion"/>
  </si>
  <si>
    <t>求关联系数和关联度</t>
    <phoneticPr fontId="1" type="noConversion"/>
  </si>
  <si>
    <t>统一量纲</t>
    <phoneticPr fontId="1" type="noConversion"/>
  </si>
  <si>
    <t>f(x(k))=(x(k))/( x ̅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</si>
</sst>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00_);[Red]\(0.000\)"/>
    <numFmt numFmtId="178" formatCode="0.00_ "/>
    <numFmt numFmtId="179" formatCode="0.0%"/>
    <numFmt numFmtId="180" formatCode="0.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Cambria Math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179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180" fontId="0" fillId="0" borderId="0" xfId="0" applyNumberFormat="1"/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</xdr:colOff>
      <xdr:row>34</xdr:row>
      <xdr:rowOff>1</xdr:rowOff>
    </xdr:from>
    <xdr:to>
      <xdr:col>9</xdr:col>
      <xdr:colOff>205740</xdr:colOff>
      <xdr:row>35</xdr:row>
      <xdr:rowOff>259081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文本框 103">
              <a:extLst>
                <a:ext uri="{FF2B5EF4-FFF2-40B4-BE49-F238E27FC236}">
                  <a16:creationId xmlns:a16="http://schemas.microsoft.com/office/drawing/2014/main" id="{ABE2BA39-2197-EEFD-C118-9B0EE5C09434}"/>
                </a:ext>
              </a:extLst>
            </xdr:cNvPr>
            <xdr:cNvSpPr txBox="1"/>
          </xdr:nvSpPr>
          <xdr:spPr>
            <a:xfrm>
              <a:off x="5189221" y="10104121"/>
              <a:ext cx="1440179" cy="55626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sSubPr>
                      <m:e>
                        <m:r>
                          <a:rPr lang="zh-CN" altLang="en-US" sz="140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𝜉</m:t>
                        </m:r>
                      </m:e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𝑖𝑗</m:t>
                        </m:r>
                      </m:sub>
                    </m:sSub>
                    <m:r>
                      <a:rPr lang="en-US" altLang="zh-CN" sz="1400" b="0" i="1">
                        <a:solidFill>
                          <a:srgbClr val="414142"/>
                        </a:solidFill>
                        <a:latin typeface="Cambria Math" panose="02040503050406030204" pitchFamily="18" charset="0"/>
                        <a:ea typeface="优设好身体" panose="00020600040101010101" pitchFamily="18" charset="-122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𝑎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+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𝜌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𝑏</m:t>
                        </m:r>
                      </m:num>
                      <m:den>
                        <m:sSub>
                          <m:sSubPr>
                            <m:ctrlP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𝑖𝑗</m:t>
                            </m:r>
                          </m:sub>
                        </m:s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+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𝜌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𝑏</m:t>
                        </m:r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2" name="文本框 103">
              <a:extLst>
                <a:ext uri="{FF2B5EF4-FFF2-40B4-BE49-F238E27FC236}">
                  <a16:creationId xmlns:a16="http://schemas.microsoft.com/office/drawing/2014/main" id="{ABE2BA39-2197-EEFD-C118-9B0EE5C09434}"/>
                </a:ext>
              </a:extLst>
            </xdr:cNvPr>
            <xdr:cNvSpPr txBox="1"/>
          </xdr:nvSpPr>
          <xdr:spPr>
            <a:xfrm>
              <a:off x="5189221" y="10104121"/>
              <a:ext cx="1440179" cy="55626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zh-CN" altLang="en-US" sz="140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𝜉</a:t>
              </a:r>
              <a:r>
                <a:rPr lang="en-US" altLang="zh-CN" sz="1400" b="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_𝑖𝑗=(𝑎+𝜌𝑏)/(𝑋_𝑖𝑗+𝜌𝑏)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7</xdr:col>
      <xdr:colOff>1</xdr:colOff>
      <xdr:row>14</xdr:row>
      <xdr:rowOff>15240</xdr:rowOff>
    </xdr:from>
    <xdr:to>
      <xdr:col>11</xdr:col>
      <xdr:colOff>198120</xdr:colOff>
      <xdr:row>16</xdr:row>
      <xdr:rowOff>101387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2">
              <a:extLst>
                <a:ext uri="{FF2B5EF4-FFF2-40B4-BE49-F238E27FC236}">
                  <a16:creationId xmlns:a16="http://schemas.microsoft.com/office/drawing/2014/main" id="{6C57D8EC-CA5D-0115-EADA-188DF1C2A5EF}"/>
                </a:ext>
              </a:extLst>
            </xdr:cNvPr>
            <xdr:cNvSpPr txBox="1"/>
          </xdr:nvSpPr>
          <xdr:spPr>
            <a:xfrm>
              <a:off x="5189221" y="4175760"/>
              <a:ext cx="2666999" cy="68050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marL="540000" indent="-540000"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d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acc>
                          <m:accPr>
                            <m:chr m:val="̅"/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den>
                    </m:f>
                    <m:r>
                      <a:rPr lang="zh-CN" altLang="en-US" sz="1400" i="1">
                        <a:latin typeface="Cambria Math" panose="02040503050406030204" pitchFamily="18" charset="0"/>
                      </a:rPr>
                      <m:t>，</m:t>
                    </m:r>
                    <m:acc>
                      <m:accPr>
                        <m:chr m:val="̅"/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altLang="zh-CN" sz="1400" b="0"/>
            </a:p>
          </xdr:txBody>
        </xdr:sp>
      </mc:Choice>
      <mc:Fallback>
        <xdr:sp macro="" textlink="">
          <xdr:nvSpPr>
            <xdr:cNvPr id="4" name="文本框 2">
              <a:extLst>
                <a:ext uri="{FF2B5EF4-FFF2-40B4-BE49-F238E27FC236}">
                  <a16:creationId xmlns:a16="http://schemas.microsoft.com/office/drawing/2014/main" id="{6C57D8EC-CA5D-0115-EADA-188DF1C2A5EF}"/>
                </a:ext>
              </a:extLst>
            </xdr:cNvPr>
            <xdr:cNvSpPr txBox="1"/>
          </xdr:nvSpPr>
          <xdr:spPr>
            <a:xfrm>
              <a:off x="5189221" y="4175760"/>
              <a:ext cx="2666999" cy="68050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marL="540000" indent="-540000"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𝑓(𝑥(𝑘))=(</a:t>
              </a:r>
              <a:r>
                <a:rPr lang="en-US" altLang="zh-CN" sz="1400" i="0">
                  <a:latin typeface="Cambria Math" panose="02040503050406030204" pitchFamily="18" charset="0"/>
                </a:rPr>
                <a:t>𝑥(𝑘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))/( 𝑥 ̅ )</a:t>
              </a:r>
              <a:r>
                <a:rPr lang="zh-CN" altLang="en-US" sz="1400" i="0">
                  <a:latin typeface="Cambria Math" panose="02040503050406030204" pitchFamily="18" charset="0"/>
                </a:rPr>
                <a:t>，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𝑥 ̅=1/𝑛 ∑_(𝑖=1)^𝑛▒〖𝑥(𝑘)〗</a:t>
              </a:r>
              <a:endParaRPr lang="en-US" altLang="zh-CN" sz="1400" b="0"/>
            </a:p>
          </xdr:txBody>
        </xdr:sp>
      </mc:Fallback>
    </mc:AlternateContent>
    <xdr:clientData/>
  </xdr:twoCellAnchor>
  <xdr:twoCellAnchor>
    <xdr:from>
      <xdr:col>8</xdr:col>
      <xdr:colOff>15241</xdr:colOff>
      <xdr:row>24</xdr:row>
      <xdr:rowOff>7620</xdr:rowOff>
    </xdr:from>
    <xdr:to>
      <xdr:col>12</xdr:col>
      <xdr:colOff>327660</xdr:colOff>
      <xdr:row>27</xdr:row>
      <xdr:rowOff>129540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23FBC9F8-CC16-0EF4-8B5B-4125DA090A20}"/>
                </a:ext>
              </a:extLst>
            </xdr:cNvPr>
            <xdr:cNvSpPr txBox="1"/>
          </xdr:nvSpPr>
          <xdr:spPr>
            <a:xfrm>
              <a:off x="5821681" y="7139940"/>
              <a:ext cx="2781299" cy="101346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altLang="zh-CN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altLang="zh-CN" sz="1400" i="0">
                                <a:latin typeface="Cambria Math" panose="02040503050406030204" pitchFamily="18" charset="0"/>
                              </a:rPr>
                              <m:t>min</m:t>
                            </m:r>
                          </m:e>
                          <m:lim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lim>
                        </m:limLow>
                      </m:fName>
                      <m:e>
                        <m:func>
                          <m:func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400" i="0">
                                    <a:latin typeface="Cambria Math" panose="02040503050406030204" pitchFamily="18" charset="0"/>
                                  </a:rPr>
                                  <m:t>min</m:t>
                                </m:r>
                              </m:e>
                              <m:lim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lim>
                            </m:limLow>
                          </m:fName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en-US" altLang="zh-CN" sz="1400"/>
            </a:p>
            <a:p>
              <a:pPr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altLang="zh-CN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altLang="zh-CN" sz="1400"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𝑎𝑥</m:t>
                            </m:r>
                          </m:e>
                          <m:lim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lim>
                        </m:limLow>
                      </m:fName>
                      <m:e>
                        <m:func>
                          <m:func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400">
                                    <a:latin typeface="Cambria Math" panose="02040503050406030204" pitchFamily="18" charset="0"/>
                                  </a:rPr>
                                  <m:t>m</m:t>
                                </m:r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𝑎𝑥</m:t>
                                </m:r>
                              </m:e>
                              <m:lim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lim>
                            </m:limLow>
                          </m:fName>
                          <m:e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en-US" altLang="zh-CN" sz="1400"/>
            </a:p>
            <a:p>
              <a:pPr>
                <a:lnSpc>
                  <a:spcPct val="100000"/>
                </a:lnSpc>
              </a:pPr>
              <a14:m>
                <m:oMath xmlns:m="http://schemas.openxmlformats.org/officeDocument/2006/math">
                  <m:r>
                    <a:rPr lang="en-US" altLang="zh-CN" sz="1400" b="0" i="1">
                      <a:latin typeface="Cambria Math" panose="02040503050406030204" pitchFamily="18" charset="0"/>
                    </a:rPr>
                    <m:t>𝜌</m:t>
                  </m:r>
                  <m:r>
                    <a:rPr lang="en-US" altLang="zh-CN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∈[0, 1]</m:t>
                  </m:r>
                  <m:r>
                    <a:rPr lang="zh-CN" altLang="en-US" sz="14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，</m:t>
                  </m:r>
                </m:oMath>
              </a14:m>
              <a:r>
                <a:rPr lang="zh-CN" altLang="en-US" sz="1400"/>
                <a:t>为分辨系数，一般取</a:t>
              </a:r>
              <a:r>
                <a:rPr lang="en-US" altLang="zh-CN" sz="1400"/>
                <a:t>0.5</a:t>
              </a:r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23FBC9F8-CC16-0EF4-8B5B-4125DA090A20}"/>
                </a:ext>
              </a:extLst>
            </xdr:cNvPr>
            <xdr:cNvSpPr txBox="1"/>
          </xdr:nvSpPr>
          <xdr:spPr>
            <a:xfrm>
              <a:off x="5821681" y="7139940"/>
              <a:ext cx="2781299" cy="101346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𝑎</a:t>
              </a:r>
              <a:r>
                <a:rPr lang="en-US" altLang="zh-CN" sz="1400" i="0">
                  <a:latin typeface="Cambria Math" panose="02040503050406030204" pitchFamily="18" charset="0"/>
                </a:rPr>
                <a:t>=min┬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𝑖⁡</a:t>
              </a:r>
              <a:r>
                <a:rPr lang="en-US" altLang="zh-CN" sz="1400" i="0">
                  <a:latin typeface="Cambria Math" panose="02040503050406030204" pitchFamily="18" charset="0"/>
                </a:rPr>
                <a:t>min┬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𝑘⁡〖|</a:t>
              </a:r>
              <a:r>
                <a:rPr lang="en-US" altLang="zh-CN" sz="1400" i="0">
                  <a:latin typeface="Cambria Math" panose="02040503050406030204" pitchFamily="18" charset="0"/>
                </a:rPr>
                <a:t>𝑥_𝑖 (𝑘)−𝑚𝑎𝑥(𝑘)|〗 </a:t>
              </a:r>
              <a:endParaRPr lang="en-US" altLang="zh-CN" sz="1400"/>
            </a:p>
            <a:p>
              <a:pPr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𝑏</a:t>
              </a:r>
              <a:r>
                <a:rPr lang="en-US" altLang="zh-CN" sz="1400" i="0">
                  <a:latin typeface="Cambria Math" panose="02040503050406030204" pitchFamily="18" charset="0"/>
                </a:rPr>
                <a:t>=(m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𝑎𝑥)┬</a:t>
              </a:r>
              <a:r>
                <a:rPr lang="en-US" altLang="zh-CN" sz="1400" i="0">
                  <a:latin typeface="Cambria Math" panose="02040503050406030204" pitchFamily="18" charset="0"/>
                </a:rPr>
                <a:t>𝑖⁡(m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𝑎𝑥)┬</a:t>
              </a:r>
              <a:r>
                <a:rPr lang="en-US" altLang="zh-CN" sz="1400" i="0">
                  <a:latin typeface="Cambria Math" panose="02040503050406030204" pitchFamily="18" charset="0"/>
                </a:rPr>
                <a:t>𝑘⁡〖|𝑥_𝑖 (𝑘)−𝑚𝑎𝑥(𝑘)|〗 </a:t>
              </a:r>
              <a:endParaRPr lang="en-US" altLang="zh-CN" sz="1400"/>
            </a:p>
            <a:p>
              <a:pPr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𝜌</a:t>
              </a:r>
              <a:r>
                <a:rPr lang="en-US" altLang="zh-CN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∈[0, 1]</a:t>
              </a:r>
              <a:r>
                <a:rPr lang="zh-CN" alt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，</a:t>
              </a:r>
              <a:r>
                <a:rPr lang="zh-CN" altLang="en-US" sz="1400"/>
                <a:t>为分辨系数，一般取</a:t>
              </a:r>
              <a:r>
                <a:rPr lang="en-US" altLang="zh-CN" sz="1400"/>
                <a:t>0.5</a:t>
              </a:r>
            </a:p>
          </xdr:txBody>
        </xdr:sp>
      </mc:Fallback>
    </mc:AlternateContent>
    <xdr:clientData/>
  </xdr:twoCellAnchor>
  <xdr:twoCellAnchor>
    <xdr:from>
      <xdr:col>7</xdr:col>
      <xdr:colOff>1</xdr:colOff>
      <xdr:row>37</xdr:row>
      <xdr:rowOff>0</xdr:rowOff>
    </xdr:from>
    <xdr:to>
      <xdr:col>9</xdr:col>
      <xdr:colOff>205741</xdr:colOff>
      <xdr:row>39</xdr:row>
      <xdr:rowOff>86147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11">
              <a:extLst>
                <a:ext uri="{FF2B5EF4-FFF2-40B4-BE49-F238E27FC236}">
                  <a16:creationId xmlns:a16="http://schemas.microsoft.com/office/drawing/2014/main" id="{C2C63AC7-79CF-46AC-1E81-F0FC229B73D9}"/>
                </a:ext>
              </a:extLst>
            </xdr:cNvPr>
            <xdr:cNvSpPr txBox="1"/>
          </xdr:nvSpPr>
          <xdr:spPr>
            <a:xfrm>
              <a:off x="5189221" y="10995660"/>
              <a:ext cx="1440180" cy="68050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𝑟</m:t>
                        </m:r>
                      </m:e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𝑖</m:t>
                        </m:r>
                      </m:sub>
                    </m:sSub>
                    <m:r>
                      <a:rPr lang="en-US" altLang="zh-CN" sz="1400" b="0" i="1">
                        <a:solidFill>
                          <a:srgbClr val="414142"/>
                        </a:solidFill>
                        <a:latin typeface="Cambria Math" panose="02040503050406030204" pitchFamily="18" charset="0"/>
                        <a:ea typeface="优设好身体" panose="00020600040101010101" pitchFamily="18" charset="-122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1</m:t>
                        </m:r>
                      </m:num>
                      <m:den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naryPr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𝑘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=1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𝜉</m:t>
                            </m:r>
                          </m:e>
                          <m:sub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𝑖</m:t>
                            </m:r>
                          </m:sub>
                        </m:s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(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𝑘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6" name="文本框 11">
              <a:extLst>
                <a:ext uri="{FF2B5EF4-FFF2-40B4-BE49-F238E27FC236}">
                  <a16:creationId xmlns:a16="http://schemas.microsoft.com/office/drawing/2014/main" id="{C2C63AC7-79CF-46AC-1E81-F0FC229B73D9}"/>
                </a:ext>
              </a:extLst>
            </xdr:cNvPr>
            <xdr:cNvSpPr txBox="1"/>
          </xdr:nvSpPr>
          <xdr:spPr>
            <a:xfrm>
              <a:off x="5189221" y="10995660"/>
              <a:ext cx="1440180" cy="68050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400" b="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𝑟_𝑖=1/𝑛 ∑_(𝑘=1)^𝑛▒〖𝜉_𝑖 (𝑘)〗</a:t>
              </a:r>
              <a:endParaRPr lang="zh-CN" altLang="en-US" sz="14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13</xdr:row>
      <xdr:rowOff>7620</xdr:rowOff>
    </xdr:from>
    <xdr:to>
      <xdr:col>11</xdr:col>
      <xdr:colOff>198119</xdr:colOff>
      <xdr:row>15</xdr:row>
      <xdr:rowOff>93767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EC6B16C-6458-480B-BF8D-6A2BBBD2AED0}"/>
                </a:ext>
              </a:extLst>
            </xdr:cNvPr>
            <xdr:cNvSpPr txBox="1"/>
          </xdr:nvSpPr>
          <xdr:spPr>
            <a:xfrm>
              <a:off x="6050280" y="3870960"/>
              <a:ext cx="2666999" cy="68050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marL="540000" indent="-540000"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d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acc>
                          <m:accPr>
                            <m:chr m:val="̅"/>
                            <m:ctrlP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den>
                    </m:f>
                    <m:r>
                      <a:rPr lang="zh-CN" altLang="en-US" sz="1400" i="1">
                        <a:latin typeface="Cambria Math" panose="02040503050406030204" pitchFamily="18" charset="0"/>
                      </a:rPr>
                      <m:t>，</m:t>
                    </m:r>
                    <m:acc>
                      <m:accPr>
                        <m:chr m:val="̅"/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altLang="zh-CN" sz="14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n-US" altLang="zh-CN" sz="14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(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n-US" altLang="zh-CN" sz="14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en-US" altLang="zh-CN" sz="1400" b="0"/>
            </a:p>
          </xdr:txBody>
        </xdr:sp>
      </mc:Choice>
      <mc:Fallback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8EC6B16C-6458-480B-BF8D-6A2BBBD2AED0}"/>
                </a:ext>
              </a:extLst>
            </xdr:cNvPr>
            <xdr:cNvSpPr txBox="1"/>
          </xdr:nvSpPr>
          <xdr:spPr>
            <a:xfrm>
              <a:off x="6050280" y="3870960"/>
              <a:ext cx="2666999" cy="68050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marL="540000" indent="-540000"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𝑓(𝑥(𝑘))=(</a:t>
              </a:r>
              <a:r>
                <a:rPr lang="en-US" altLang="zh-CN" sz="1400" i="0">
                  <a:latin typeface="Cambria Math" panose="02040503050406030204" pitchFamily="18" charset="0"/>
                </a:rPr>
                <a:t>𝑥(𝑘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))/( 𝑥 ̅ )</a:t>
              </a:r>
              <a:r>
                <a:rPr lang="zh-CN" altLang="en-US" sz="1400" i="0">
                  <a:latin typeface="Cambria Math" panose="02040503050406030204" pitchFamily="18" charset="0"/>
                </a:rPr>
                <a:t>，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𝑥 ̅=1/𝑛 ∑_(𝑖=1)^𝑛▒〖𝑥(𝑘)〗</a:t>
              </a:r>
              <a:endParaRPr lang="en-US" altLang="zh-CN" sz="1400" b="0"/>
            </a:p>
          </xdr:txBody>
        </xdr:sp>
      </mc:Fallback>
    </mc:AlternateContent>
    <xdr:clientData/>
  </xdr:twoCellAnchor>
  <xdr:twoCellAnchor>
    <xdr:from>
      <xdr:col>8</xdr:col>
      <xdr:colOff>0</xdr:colOff>
      <xdr:row>33</xdr:row>
      <xdr:rowOff>289561</xdr:rowOff>
    </xdr:from>
    <xdr:to>
      <xdr:col>10</xdr:col>
      <xdr:colOff>205739</xdr:colOff>
      <xdr:row>35</xdr:row>
      <xdr:rowOff>251461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文本框 103">
              <a:extLst>
                <a:ext uri="{FF2B5EF4-FFF2-40B4-BE49-F238E27FC236}">
                  <a16:creationId xmlns:a16="http://schemas.microsoft.com/office/drawing/2014/main" id="{DA1C2269-3078-4049-946A-758DD1B1D121}"/>
                </a:ext>
              </a:extLst>
            </xdr:cNvPr>
            <xdr:cNvSpPr txBox="1"/>
          </xdr:nvSpPr>
          <xdr:spPr>
            <a:xfrm>
              <a:off x="6667500" y="10111741"/>
              <a:ext cx="1440179" cy="55626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sSubPr>
                      <m:e>
                        <m:r>
                          <a:rPr lang="zh-CN" altLang="en-US" sz="140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𝜉</m:t>
                        </m:r>
                      </m:e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𝑖𝑗</m:t>
                        </m:r>
                      </m:sub>
                    </m:sSub>
                    <m:r>
                      <a:rPr lang="en-US" altLang="zh-CN" sz="1400" b="0" i="1">
                        <a:solidFill>
                          <a:srgbClr val="414142"/>
                        </a:solidFill>
                        <a:latin typeface="Cambria Math" panose="02040503050406030204" pitchFamily="18" charset="0"/>
                        <a:ea typeface="优设好身体" panose="00020600040101010101" pitchFamily="18" charset="-122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𝑎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+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𝜌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𝑏</m:t>
                        </m:r>
                      </m:num>
                      <m:den>
                        <m:sSub>
                          <m:sSubPr>
                            <m:ctrlP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𝑖𝑗</m:t>
                            </m:r>
                          </m:sub>
                        </m:s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+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𝜌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𝑏</m:t>
                        </m:r>
                      </m:den>
                    </m:f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4" name="文本框 103">
              <a:extLst>
                <a:ext uri="{FF2B5EF4-FFF2-40B4-BE49-F238E27FC236}">
                  <a16:creationId xmlns:a16="http://schemas.microsoft.com/office/drawing/2014/main" id="{DA1C2269-3078-4049-946A-758DD1B1D121}"/>
                </a:ext>
              </a:extLst>
            </xdr:cNvPr>
            <xdr:cNvSpPr txBox="1"/>
          </xdr:nvSpPr>
          <xdr:spPr>
            <a:xfrm>
              <a:off x="6667500" y="10111741"/>
              <a:ext cx="1440179" cy="55626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zh-CN" altLang="en-US" sz="140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𝜉</a:t>
              </a:r>
              <a:r>
                <a:rPr lang="en-US" altLang="zh-CN" sz="1400" b="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_𝑖𝑗=(𝑎+𝜌𝑏)/(𝑋_𝑖𝑗+𝜌𝑏)</a:t>
              </a:r>
              <a:endParaRPr lang="zh-CN" altLang="en-US" sz="1400"/>
            </a:p>
          </xdr:txBody>
        </xdr:sp>
      </mc:Fallback>
    </mc:AlternateContent>
    <xdr:clientData/>
  </xdr:twoCellAnchor>
  <xdr:twoCellAnchor>
    <xdr:from>
      <xdr:col>8</xdr:col>
      <xdr:colOff>7620</xdr:colOff>
      <xdr:row>26</xdr:row>
      <xdr:rowOff>7620</xdr:rowOff>
    </xdr:from>
    <xdr:to>
      <xdr:col>12</xdr:col>
      <xdr:colOff>320039</xdr:colOff>
      <xdr:row>29</xdr:row>
      <xdr:rowOff>129540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78EF06F8-0B30-4D01-8A7E-026A95CCCE79}"/>
                </a:ext>
              </a:extLst>
            </xdr:cNvPr>
            <xdr:cNvSpPr txBox="1"/>
          </xdr:nvSpPr>
          <xdr:spPr>
            <a:xfrm>
              <a:off x="6675120" y="7749540"/>
              <a:ext cx="2781299" cy="101346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US" altLang="zh-CN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altLang="zh-CN" sz="1400" i="0">
                                <a:latin typeface="Cambria Math" panose="02040503050406030204" pitchFamily="18" charset="0"/>
                              </a:rPr>
                              <m:t>min</m:t>
                            </m:r>
                          </m:e>
                          <m:lim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lim>
                        </m:limLow>
                      </m:fName>
                      <m:e>
                        <m:func>
                          <m:func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400" i="0">
                                    <a:latin typeface="Cambria Math" panose="02040503050406030204" pitchFamily="18" charset="0"/>
                                  </a:rPr>
                                  <m:t>min</m:t>
                                </m:r>
                              </m:e>
                              <m:lim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lim>
                            </m:limLow>
                          </m:fName>
                          <m:e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en-US" altLang="zh-CN" sz="1400"/>
            </a:p>
            <a:p>
              <a:pPr algn="just">
                <a:lnSpc>
                  <a:spcPct val="10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altLang="zh-CN" sz="1400" i="1"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n-US" altLang="zh-CN" sz="14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limLow>
                          <m:limLow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limLowPr>
                          <m:e>
                            <m:r>
                              <m:rPr>
                                <m:sty m:val="p"/>
                              </m:rPr>
                              <a:rPr lang="en-US" altLang="zh-CN" sz="1400">
                                <a:latin typeface="Cambria Math" panose="02040503050406030204" pitchFamily="18" charset="0"/>
                              </a:rPr>
                              <m:t>m</m:t>
                            </m:r>
                            <m:r>
                              <a:rPr lang="en-US" altLang="zh-CN" sz="1400" b="0" i="1">
                                <a:latin typeface="Cambria Math" panose="02040503050406030204" pitchFamily="18" charset="0"/>
                              </a:rPr>
                              <m:t>𝑎𝑥</m:t>
                            </m:r>
                          </m:e>
                          <m:lim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lim>
                        </m:limLow>
                      </m:fName>
                      <m:e>
                        <m:func>
                          <m:funcPr>
                            <m:ctrlPr>
                              <a:rPr lang="en-US" altLang="zh-CN" sz="140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limLow>
                              <m:limLow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limLow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400">
                                    <a:latin typeface="Cambria Math" panose="02040503050406030204" pitchFamily="18" charset="0"/>
                                  </a:rPr>
                                  <m:t>m</m:t>
                                </m:r>
                                <m:r>
                                  <a:rPr lang="en-US" altLang="zh-CN" sz="1400" b="0" i="1">
                                    <a:latin typeface="Cambria Math" panose="02040503050406030204" pitchFamily="18" charset="0"/>
                                  </a:rPr>
                                  <m:t>𝑎𝑥</m:t>
                                </m:r>
                              </m:e>
                              <m:lim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lim>
                            </m:limLow>
                          </m:fName>
                          <m:e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  <m:sSub>
                              <m:sSub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𝑚𝑎𝑥</m:t>
                            </m:r>
                            <m:d>
                              <m:dPr>
                                <m:ctrlP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altLang="zh-CN" sz="1400" i="1">
                                    <a:latin typeface="Cambria Math" panose="02040503050406030204" pitchFamily="18" charset="0"/>
                                  </a:rPr>
                                  <m:t>𝑘</m:t>
                                </m:r>
                              </m:e>
                            </m:d>
                            <m:r>
                              <a:rPr lang="en-US" altLang="zh-CN" sz="1400" i="1">
                                <a:latin typeface="Cambria Math" panose="02040503050406030204" pitchFamily="18" charset="0"/>
                              </a:rPr>
                              <m:t>|</m:t>
                            </m:r>
                          </m:e>
                        </m:func>
                      </m:e>
                    </m:func>
                  </m:oMath>
                </m:oMathPara>
              </a14:m>
              <a:endParaRPr lang="en-US" altLang="zh-CN" sz="1400"/>
            </a:p>
            <a:p>
              <a:pPr>
                <a:lnSpc>
                  <a:spcPct val="100000"/>
                </a:lnSpc>
              </a:pPr>
              <a14:m>
                <m:oMath xmlns:m="http://schemas.openxmlformats.org/officeDocument/2006/math">
                  <m:r>
                    <a:rPr lang="en-US" altLang="zh-CN" sz="1400" b="0" i="1">
                      <a:latin typeface="Cambria Math" panose="02040503050406030204" pitchFamily="18" charset="0"/>
                    </a:rPr>
                    <m:t>𝜌</m:t>
                  </m:r>
                  <m:r>
                    <a:rPr lang="en-US" altLang="zh-CN" sz="1400" b="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∈[0, 1]</m:t>
                  </m:r>
                  <m:r>
                    <a:rPr lang="zh-CN" altLang="en-US" sz="1400" i="1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m:t>，</m:t>
                  </m:r>
                </m:oMath>
              </a14:m>
              <a:r>
                <a:rPr lang="zh-CN" altLang="en-US" sz="1400"/>
                <a:t>为分辨系数，一般取</a:t>
              </a:r>
              <a:r>
                <a:rPr lang="en-US" altLang="zh-CN" sz="1400"/>
                <a:t>0.5</a:t>
              </a:r>
            </a:p>
          </xdr:txBody>
        </xdr:sp>
      </mc:Choice>
      <mc:Fallback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78EF06F8-0B30-4D01-8A7E-026A95CCCE79}"/>
                </a:ext>
              </a:extLst>
            </xdr:cNvPr>
            <xdr:cNvSpPr txBox="1"/>
          </xdr:nvSpPr>
          <xdr:spPr>
            <a:xfrm>
              <a:off x="6675120" y="7749540"/>
              <a:ext cx="2781299" cy="1013460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wrap="square">
              <a:noAutofit/>
            </a:bodyPr>
            <a:lstStyle>
              <a:defPPr>
                <a:defRPr lang="zh-CN"/>
              </a:defPPr>
              <a:lvl1pPr marL="0" algn="ctr" defTabSz="514350" rtl="0" eaLnBrk="1" fontAlgn="base" latinLnBrk="0" hangingPunct="1">
                <a:lnSpc>
                  <a:spcPct val="150000"/>
                </a:lnSpc>
                <a:spcBef>
                  <a:spcPct val="0"/>
                </a:spcBef>
                <a:spcAft>
                  <a:spcPct val="0"/>
                </a:spcAft>
                <a:defRPr sz="1800" kern="1200">
                  <a:solidFill>
                    <a:schemeClr val="tx1"/>
                  </a:solidFill>
                  <a:latin typeface="优设好身体" panose="00020600040101010101" pitchFamily="18" charset="-122"/>
                  <a:ea typeface="优设好身体" panose="00020600040101010101" pitchFamily="18" charset="-122"/>
                  <a:cs typeface="+mn-cs"/>
                </a:defRPr>
              </a:lvl1pPr>
              <a:lvl2pPr marL="742950" indent="-28575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2pPr>
              <a:lvl3pPr marL="11430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3pPr>
              <a:lvl4pPr marL="16002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4pPr>
              <a:lvl5pPr marL="2057400" indent="-228600" algn="l" defTabSz="514350" rtl="0" eaLnBrk="1" latinLnBrk="0" hangingPunct="1"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5pPr>
              <a:lvl6pPr marL="25146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6pPr>
              <a:lvl7pPr marL="29718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7pPr>
              <a:lvl8pPr marL="34290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8pPr>
              <a:lvl9pPr marL="3886200" indent="-228600" algn="l" defTabSz="514350" rtl="0" eaLnBrk="0" fontAlgn="base" latinLnBrk="0" hangingPunct="0">
                <a:spcBef>
                  <a:spcPct val="0"/>
                </a:spcBef>
                <a:spcAft>
                  <a:spcPct val="0"/>
                </a:spcAft>
                <a:defRPr sz="1300" kern="1200">
                  <a:solidFill>
                    <a:schemeClr val="tx1"/>
                  </a:solidFill>
                  <a:latin typeface="Calibri" panose="020F0302020204030204" pitchFamily="34" charset="0"/>
                  <a:ea typeface="宋体" panose="02010600030101010101" pitchFamily="2" charset="-122"/>
                  <a:cs typeface="+mn-cs"/>
                </a:defRPr>
              </a:lvl9pPr>
            </a:lstStyle>
            <a:p>
              <a:pPr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𝑎</a:t>
              </a:r>
              <a:r>
                <a:rPr lang="en-US" altLang="zh-CN" sz="1400" i="0">
                  <a:latin typeface="Cambria Math" panose="02040503050406030204" pitchFamily="18" charset="0"/>
                </a:rPr>
                <a:t>=min┬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𝑖⁡</a:t>
              </a:r>
              <a:r>
                <a:rPr lang="en-US" altLang="zh-CN" sz="1400" i="0">
                  <a:latin typeface="Cambria Math" panose="02040503050406030204" pitchFamily="18" charset="0"/>
                </a:rPr>
                <a:t>min┬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𝑘⁡〖|</a:t>
              </a:r>
              <a:r>
                <a:rPr lang="en-US" altLang="zh-CN" sz="1400" i="0">
                  <a:latin typeface="Cambria Math" panose="02040503050406030204" pitchFamily="18" charset="0"/>
                </a:rPr>
                <a:t>𝑥_𝑖 (𝑘)−𝑚𝑎𝑥(𝑘)|〗 </a:t>
              </a:r>
              <a:endParaRPr lang="en-US" altLang="zh-CN" sz="1400"/>
            </a:p>
            <a:p>
              <a:pPr algn="just"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𝑏</a:t>
              </a:r>
              <a:r>
                <a:rPr lang="en-US" altLang="zh-CN" sz="1400" i="0">
                  <a:latin typeface="Cambria Math" panose="02040503050406030204" pitchFamily="18" charset="0"/>
                </a:rPr>
                <a:t>=(m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𝑎𝑥)┬</a:t>
              </a:r>
              <a:r>
                <a:rPr lang="en-US" altLang="zh-CN" sz="1400" i="0">
                  <a:latin typeface="Cambria Math" panose="02040503050406030204" pitchFamily="18" charset="0"/>
                </a:rPr>
                <a:t>𝑖⁡(m</a:t>
              </a:r>
              <a:r>
                <a:rPr lang="en-US" altLang="zh-CN" sz="1400" b="0" i="0">
                  <a:latin typeface="Cambria Math" panose="02040503050406030204" pitchFamily="18" charset="0"/>
                </a:rPr>
                <a:t>𝑎𝑥)┬</a:t>
              </a:r>
              <a:r>
                <a:rPr lang="en-US" altLang="zh-CN" sz="1400" i="0">
                  <a:latin typeface="Cambria Math" panose="02040503050406030204" pitchFamily="18" charset="0"/>
                </a:rPr>
                <a:t>𝑘⁡〖|𝑥_𝑖 (𝑘)−𝑚𝑎𝑥(𝑘)|〗 </a:t>
              </a:r>
              <a:endParaRPr lang="en-US" altLang="zh-CN" sz="1400"/>
            </a:p>
            <a:p>
              <a:pPr>
                <a:lnSpc>
                  <a:spcPct val="100000"/>
                </a:lnSpc>
              </a:pPr>
              <a:r>
                <a:rPr lang="en-US" altLang="zh-CN" sz="1400" b="0" i="0">
                  <a:latin typeface="Cambria Math" panose="02040503050406030204" pitchFamily="18" charset="0"/>
                </a:rPr>
                <a:t>𝜌</a:t>
              </a:r>
              <a:r>
                <a:rPr lang="en-US" altLang="zh-CN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∈[0, 1]</a:t>
              </a:r>
              <a:r>
                <a:rPr lang="zh-CN" altLang="en-US" sz="1400" i="0">
                  <a:latin typeface="Cambria Math" panose="02040503050406030204" pitchFamily="18" charset="0"/>
                  <a:ea typeface="Cambria Math" panose="02040503050406030204" pitchFamily="18" charset="0"/>
                </a:rPr>
                <a:t>，</a:t>
              </a:r>
              <a:r>
                <a:rPr lang="zh-CN" altLang="en-US" sz="1400"/>
                <a:t>为分辨系数，一般取</a:t>
              </a:r>
              <a:r>
                <a:rPr lang="en-US" altLang="zh-CN" sz="1400"/>
                <a:t>0.5</a:t>
              </a:r>
            </a:p>
          </xdr:txBody>
        </xdr:sp>
      </mc:Fallback>
    </mc:AlternateContent>
    <xdr:clientData/>
  </xdr:twoCellAnchor>
  <xdr:twoCellAnchor>
    <xdr:from>
      <xdr:col>8</xdr:col>
      <xdr:colOff>7620</xdr:colOff>
      <xdr:row>36</xdr:row>
      <xdr:rowOff>121920</xdr:rowOff>
    </xdr:from>
    <xdr:to>
      <xdr:col>10</xdr:col>
      <xdr:colOff>213360</xdr:colOff>
      <xdr:row>38</xdr:row>
      <xdr:rowOff>208067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文本框 11">
              <a:extLst>
                <a:ext uri="{FF2B5EF4-FFF2-40B4-BE49-F238E27FC236}">
                  <a16:creationId xmlns:a16="http://schemas.microsoft.com/office/drawing/2014/main" id="{5EA58BC6-E9DF-4A31-B5A9-7A1F8CDF70FC}"/>
                </a:ext>
              </a:extLst>
            </xdr:cNvPr>
            <xdr:cNvSpPr txBox="1"/>
          </xdr:nvSpPr>
          <xdr:spPr>
            <a:xfrm>
              <a:off x="6675120" y="10835640"/>
              <a:ext cx="1440180" cy="68050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sSubPr>
                      <m:e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𝑟</m:t>
                        </m:r>
                      </m:e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𝑖</m:t>
                        </m:r>
                      </m:sub>
                    </m:sSub>
                    <m:r>
                      <a:rPr lang="en-US" altLang="zh-CN" sz="1400" b="0" i="1">
                        <a:solidFill>
                          <a:srgbClr val="414142"/>
                        </a:solidFill>
                        <a:latin typeface="Cambria Math" panose="02040503050406030204" pitchFamily="18" charset="0"/>
                        <a:ea typeface="优设好身体" panose="00020600040101010101" pitchFamily="18" charset="-122"/>
                      </a:rPr>
                      <m:t>=</m:t>
                    </m:r>
                    <m:f>
                      <m:fPr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fPr>
                      <m:num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1</m:t>
                        </m:r>
                      </m:num>
                      <m:den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𝑛</m:t>
                        </m:r>
                      </m:den>
                    </m:f>
                    <m:nary>
                      <m:naryPr>
                        <m:chr m:val="∑"/>
                        <m:ctrlP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</m:ctrlPr>
                      </m:naryPr>
                      <m: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𝑘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=1</m:t>
                        </m:r>
                      </m:sub>
                      <m:sup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</m:ctrlPr>
                          </m:sSubPr>
                          <m:e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𝜉</m:t>
                            </m:r>
                          </m:e>
                          <m:sub>
                            <m:r>
                              <a:rPr lang="en-US" altLang="zh-CN" sz="1400" b="0" i="1">
                                <a:solidFill>
                                  <a:srgbClr val="414142"/>
                                </a:solidFill>
                                <a:latin typeface="Cambria Math" panose="02040503050406030204" pitchFamily="18" charset="0"/>
                                <a:ea typeface="优设好身体" panose="00020600040101010101" pitchFamily="18" charset="-122"/>
                              </a:rPr>
                              <m:t>𝑖</m:t>
                            </m:r>
                          </m:sub>
                        </m:sSub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(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𝑘</m:t>
                        </m:r>
                        <m:r>
                          <a:rPr lang="en-US" altLang="zh-CN" sz="1400" b="0" i="1">
                            <a:solidFill>
                              <a:srgbClr val="414142"/>
                            </a:solidFill>
                            <a:latin typeface="Cambria Math" panose="02040503050406030204" pitchFamily="18" charset="0"/>
                            <a:ea typeface="优设好身体" panose="00020600040101010101" pitchFamily="18" charset="-122"/>
                          </a:rPr>
                          <m:t>)</m:t>
                        </m:r>
                      </m:e>
                    </m:nary>
                  </m:oMath>
                </m:oMathPara>
              </a14:m>
              <a:endParaRPr lang="zh-CN" altLang="en-US" sz="1400"/>
            </a:p>
          </xdr:txBody>
        </xdr:sp>
      </mc:Choice>
      <mc:Fallback>
        <xdr:sp macro="" textlink="">
          <xdr:nvSpPr>
            <xdr:cNvPr id="6" name="文本框 11">
              <a:extLst>
                <a:ext uri="{FF2B5EF4-FFF2-40B4-BE49-F238E27FC236}">
                  <a16:creationId xmlns:a16="http://schemas.microsoft.com/office/drawing/2014/main" id="{5EA58BC6-E9DF-4A31-B5A9-7A1F8CDF70FC}"/>
                </a:ext>
              </a:extLst>
            </xdr:cNvPr>
            <xdr:cNvSpPr txBox="1"/>
          </xdr:nvSpPr>
          <xdr:spPr>
            <a:xfrm>
              <a:off x="6675120" y="10835640"/>
              <a:ext cx="1440180" cy="680507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400" b="0" i="0">
                  <a:solidFill>
                    <a:srgbClr val="414142"/>
                  </a:solidFill>
                  <a:latin typeface="Cambria Math" panose="02040503050406030204" pitchFamily="18" charset="0"/>
                  <a:ea typeface="优设好身体" panose="00020600040101010101" pitchFamily="18" charset="-122"/>
                </a:rPr>
                <a:t>𝑟_𝑖=1/𝑛 ∑_(𝑘=1)^𝑛▒〖𝜉_𝑖 (𝑘)〗</a:t>
              </a:r>
              <a:endParaRPr lang="zh-CN" altLang="en-US" sz="14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F595-1FAB-4099-AD47-E460AD68F303}">
  <dimension ref="B1:M53"/>
  <sheetViews>
    <sheetView topLeftCell="A25" zoomScaleNormal="100" workbookViewId="0">
      <selection activeCell="E47" sqref="E47"/>
    </sheetView>
  </sheetViews>
  <sheetFormatPr defaultColWidth="9" defaultRowHeight="23.4" customHeight="1" x14ac:dyDescent="0.25"/>
  <cols>
    <col min="1" max="1" width="9" style="1"/>
    <col min="2" max="2" width="7.88671875" style="1" customWidth="1"/>
    <col min="3" max="6" width="12.44140625" style="1" customWidth="1"/>
    <col min="7" max="16384" width="9" style="1"/>
  </cols>
  <sheetData>
    <row r="1" spans="2:13" ht="23.4" customHeight="1" x14ac:dyDescent="0.25">
      <c r="I1"/>
      <c r="J1"/>
      <c r="K1"/>
      <c r="L1"/>
      <c r="M1"/>
    </row>
    <row r="2" spans="2:13" ht="23.4" customHeight="1" x14ac:dyDescent="0.25">
      <c r="B2" s="17" t="s">
        <v>3</v>
      </c>
      <c r="C2" s="17"/>
      <c r="D2" s="17"/>
      <c r="E2" s="17"/>
      <c r="F2" s="17"/>
      <c r="I2"/>
      <c r="J2"/>
      <c r="K2"/>
      <c r="L2"/>
      <c r="M2"/>
    </row>
    <row r="3" spans="2:13" ht="23.4" customHeight="1" x14ac:dyDescent="0.25"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I3"/>
      <c r="J3"/>
      <c r="K3"/>
      <c r="L3"/>
      <c r="M3"/>
    </row>
    <row r="4" spans="2:13" ht="23.4" customHeight="1" x14ac:dyDescent="4.1500000000000004">
      <c r="B4" s="3">
        <v>1</v>
      </c>
      <c r="C4" s="2">
        <v>120</v>
      </c>
      <c r="D4" s="2">
        <v>20</v>
      </c>
      <c r="E4" s="2">
        <v>5.5</v>
      </c>
      <c r="F4" s="2">
        <v>85</v>
      </c>
      <c r="I4" s="18" t="s">
        <v>33</v>
      </c>
      <c r="J4"/>
      <c r="K4"/>
      <c r="L4"/>
      <c r="M4"/>
    </row>
    <row r="5" spans="2:13" ht="23.4" customHeight="1" x14ac:dyDescent="0.25">
      <c r="B5" s="3">
        <v>2</v>
      </c>
      <c r="C5" s="2">
        <v>130</v>
      </c>
      <c r="D5" s="2">
        <v>25</v>
      </c>
      <c r="E5" s="2">
        <v>5.7</v>
      </c>
      <c r="F5" s="2">
        <v>88</v>
      </c>
      <c r="I5"/>
      <c r="J5"/>
      <c r="K5"/>
      <c r="L5"/>
      <c r="M5"/>
    </row>
    <row r="6" spans="2:13" ht="23.4" customHeight="1" x14ac:dyDescent="0.25">
      <c r="B6" s="3">
        <v>3</v>
      </c>
      <c r="C6" s="2">
        <v>128</v>
      </c>
      <c r="D6" s="2">
        <v>23</v>
      </c>
      <c r="E6" s="2">
        <v>5.6</v>
      </c>
      <c r="F6" s="2">
        <v>87</v>
      </c>
      <c r="I6"/>
      <c r="J6"/>
      <c r="K6"/>
      <c r="L6"/>
      <c r="M6"/>
    </row>
    <row r="7" spans="2:13" ht="23.4" customHeight="1" x14ac:dyDescent="0.25">
      <c r="B7" s="3">
        <v>4</v>
      </c>
      <c r="C7" s="2">
        <v>140</v>
      </c>
      <c r="D7" s="2">
        <v>28</v>
      </c>
      <c r="E7" s="2">
        <v>5.9</v>
      </c>
      <c r="F7" s="2">
        <v>90</v>
      </c>
      <c r="I7"/>
      <c r="J7"/>
      <c r="K7"/>
      <c r="L7"/>
      <c r="M7"/>
    </row>
    <row r="8" spans="2:13" ht="23.4" customHeight="1" x14ac:dyDescent="0.25">
      <c r="B8" s="3">
        <v>5</v>
      </c>
      <c r="C8" s="2">
        <v>138</v>
      </c>
      <c r="D8" s="2">
        <v>27</v>
      </c>
      <c r="E8" s="2">
        <v>6</v>
      </c>
      <c r="F8" s="2">
        <v>89</v>
      </c>
      <c r="I8"/>
      <c r="J8"/>
      <c r="K8"/>
      <c r="L8"/>
      <c r="M8"/>
    </row>
    <row r="9" spans="2:13" ht="23.4" customHeight="1" x14ac:dyDescent="0.25">
      <c r="B9" s="3">
        <v>6</v>
      </c>
      <c r="C9" s="2">
        <v>150</v>
      </c>
      <c r="D9" s="2">
        <v>30</v>
      </c>
      <c r="E9" s="2">
        <v>6.2</v>
      </c>
      <c r="F9" s="2">
        <v>91</v>
      </c>
      <c r="I9"/>
      <c r="J9"/>
      <c r="K9"/>
      <c r="L9"/>
      <c r="M9"/>
    </row>
    <row r="10" spans="2:13" ht="23.4" customHeight="1" x14ac:dyDescent="0.25">
      <c r="B10" s="3" t="s">
        <v>9</v>
      </c>
      <c r="C10" s="8">
        <f>SUM(C4:C9)/6</f>
        <v>134.33333333333334</v>
      </c>
      <c r="D10" s="8">
        <f t="shared" ref="D10:F10" si="0">SUM(D4:D9)/6</f>
        <v>25.5</v>
      </c>
      <c r="E10" s="8">
        <f t="shared" si="0"/>
        <v>5.8166666666666664</v>
      </c>
      <c r="F10" s="8">
        <f t="shared" si="0"/>
        <v>88.333333333333329</v>
      </c>
      <c r="I10"/>
      <c r="J10"/>
      <c r="K10"/>
      <c r="L10"/>
      <c r="M10"/>
    </row>
    <row r="11" spans="2:13" ht="23.4" customHeight="1" x14ac:dyDescent="0.25">
      <c r="I11"/>
      <c r="J11"/>
      <c r="K11"/>
      <c r="L11"/>
      <c r="M11"/>
    </row>
    <row r="12" spans="2:13" ht="23.4" customHeight="1" x14ac:dyDescent="0.25">
      <c r="B12" s="4" t="s">
        <v>0</v>
      </c>
      <c r="C12" s="16" t="s">
        <v>32</v>
      </c>
      <c r="D12" s="16"/>
      <c r="I12"/>
      <c r="J12"/>
      <c r="K12"/>
      <c r="L12"/>
      <c r="M12"/>
    </row>
    <row r="13" spans="2:13" ht="23.4" customHeight="1" x14ac:dyDescent="0.25">
      <c r="B13" s="14" t="s">
        <v>3</v>
      </c>
      <c r="C13" s="15"/>
      <c r="D13" s="15"/>
      <c r="E13" s="15"/>
      <c r="F13" s="15"/>
      <c r="I13"/>
      <c r="J13"/>
      <c r="K13"/>
      <c r="L13"/>
      <c r="M13"/>
    </row>
    <row r="14" spans="2:13" ht="23.4" customHeight="1" x14ac:dyDescent="0.25">
      <c r="B14" s="3" t="s">
        <v>4</v>
      </c>
      <c r="C14" s="3" t="s">
        <v>5</v>
      </c>
      <c r="D14" s="3" t="s">
        <v>6</v>
      </c>
      <c r="E14" s="3" t="s">
        <v>7</v>
      </c>
      <c r="F14" s="3" t="s">
        <v>8</v>
      </c>
      <c r="I14"/>
      <c r="J14"/>
      <c r="K14"/>
      <c r="L14"/>
      <c r="M14"/>
    </row>
    <row r="15" spans="2:13" ht="23.4" customHeight="1" x14ac:dyDescent="0.25">
      <c r="B15" s="3">
        <v>1</v>
      </c>
      <c r="C15" s="7">
        <f>C4/C$10</f>
        <v>0.89330024813895781</v>
      </c>
      <c r="D15" s="7">
        <f>D4/D$10</f>
        <v>0.78431372549019607</v>
      </c>
      <c r="E15" s="7">
        <f t="shared" ref="E15:F15" si="1">E4/E$10</f>
        <v>0.94555873925501432</v>
      </c>
      <c r="F15" s="7">
        <f t="shared" si="1"/>
        <v>0.96226415094339623</v>
      </c>
      <c r="I15"/>
      <c r="J15"/>
      <c r="K15"/>
      <c r="L15"/>
      <c r="M15"/>
    </row>
    <row r="16" spans="2:13" ht="23.4" customHeight="1" x14ac:dyDescent="0.25">
      <c r="B16" s="3">
        <v>2</v>
      </c>
      <c r="C16" s="7">
        <f t="shared" ref="C16:D20" si="2">C5/C$10</f>
        <v>0.96774193548387089</v>
      </c>
      <c r="D16" s="7">
        <f t="shared" si="2"/>
        <v>0.98039215686274506</v>
      </c>
      <c r="E16" s="7">
        <f t="shared" ref="E16:F16" si="3">E5/E$10</f>
        <v>0.97994269340974216</v>
      </c>
      <c r="F16" s="7">
        <f t="shared" si="3"/>
        <v>0.99622641509433962</v>
      </c>
      <c r="I16"/>
      <c r="J16"/>
      <c r="K16"/>
      <c r="L16"/>
      <c r="M16"/>
    </row>
    <row r="17" spans="2:8" ht="23.4" customHeight="1" x14ac:dyDescent="0.25">
      <c r="B17" s="3">
        <v>3</v>
      </c>
      <c r="C17" s="7">
        <f t="shared" si="2"/>
        <v>0.95285359801488823</v>
      </c>
      <c r="D17" s="7">
        <f t="shared" si="2"/>
        <v>0.90196078431372551</v>
      </c>
      <c r="E17" s="7">
        <f t="shared" ref="E17:F17" si="4">E6/E$10</f>
        <v>0.96275071633237819</v>
      </c>
      <c r="F17" s="7">
        <f t="shared" si="4"/>
        <v>0.98490566037735849</v>
      </c>
    </row>
    <row r="18" spans="2:8" ht="23.4" customHeight="1" x14ac:dyDescent="0.25">
      <c r="B18" s="3">
        <v>4</v>
      </c>
      <c r="C18" s="7">
        <f t="shared" si="2"/>
        <v>1.042183622828784</v>
      </c>
      <c r="D18" s="7">
        <f t="shared" si="2"/>
        <v>1.0980392156862746</v>
      </c>
      <c r="E18" s="7">
        <f t="shared" ref="E18:F18" si="5">E7/E$10</f>
        <v>1.0143266475644701</v>
      </c>
      <c r="F18" s="7">
        <f t="shared" si="5"/>
        <v>1.0188679245283019</v>
      </c>
    </row>
    <row r="19" spans="2:8" ht="23.4" customHeight="1" x14ac:dyDescent="0.25">
      <c r="B19" s="3">
        <v>5</v>
      </c>
      <c r="C19" s="7">
        <f t="shared" si="2"/>
        <v>1.0272952853598014</v>
      </c>
      <c r="D19" s="7">
        <f t="shared" si="2"/>
        <v>1.0588235294117647</v>
      </c>
      <c r="E19" s="7">
        <f t="shared" ref="E19:F19" si="6">E8/E$10</f>
        <v>1.0315186246418337</v>
      </c>
      <c r="F19" s="7">
        <f t="shared" si="6"/>
        <v>1.0075471698113208</v>
      </c>
    </row>
    <row r="20" spans="2:8" ht="23.4" customHeight="1" x14ac:dyDescent="0.25">
      <c r="B20" s="3">
        <v>6</v>
      </c>
      <c r="C20" s="7">
        <f t="shared" si="2"/>
        <v>1.1166253101736971</v>
      </c>
      <c r="D20" s="7">
        <f t="shared" si="2"/>
        <v>1.1764705882352942</v>
      </c>
      <c r="E20" s="7">
        <f t="shared" ref="E20:F20" si="7">E9/E$10</f>
        <v>1.0659025787965617</v>
      </c>
      <c r="F20" s="7">
        <f t="shared" si="7"/>
        <v>1.030188679245283</v>
      </c>
    </row>
    <row r="22" spans="2:8" ht="23.4" customHeight="1" x14ac:dyDescent="0.25">
      <c r="B22" s="4" t="s">
        <v>1</v>
      </c>
      <c r="C22" s="16" t="s">
        <v>10</v>
      </c>
      <c r="D22" s="16"/>
    </row>
    <row r="23" spans="2:8" ht="23.4" customHeight="1" x14ac:dyDescent="0.25">
      <c r="B23" s="14" t="s">
        <v>3</v>
      </c>
      <c r="C23" s="15"/>
      <c r="D23" s="15"/>
      <c r="E23" s="15"/>
      <c r="F23" s="15"/>
    </row>
    <row r="24" spans="2:8" ht="23.4" customHeight="1" x14ac:dyDescent="0.25">
      <c r="B24" s="3" t="s">
        <v>4</v>
      </c>
      <c r="C24" s="3" t="s">
        <v>5</v>
      </c>
      <c r="D24" s="3" t="s">
        <v>6</v>
      </c>
      <c r="E24" s="3" t="s">
        <v>7</v>
      </c>
      <c r="F24" s="3" t="s">
        <v>8</v>
      </c>
      <c r="G24" s="9" t="s">
        <v>13</v>
      </c>
      <c r="H24" s="10">
        <v>0.5</v>
      </c>
    </row>
    <row r="25" spans="2:8" ht="23.4" customHeight="1" x14ac:dyDescent="0.25">
      <c r="B25" s="3">
        <v>1</v>
      </c>
      <c r="C25" s="7" t="s">
        <v>11</v>
      </c>
      <c r="D25" s="5">
        <f>ABS($C15-D15)</f>
        <v>0.10898652264876174</v>
      </c>
      <c r="E25" s="5">
        <f t="shared" ref="E25:F25" si="8">ABS($C15-E15)</f>
        <v>5.2258491116056516E-2</v>
      </c>
      <c r="F25" s="5">
        <f t="shared" si="8"/>
        <v>6.8963902804438426E-2</v>
      </c>
      <c r="G25" s="6">
        <f>MIN(D25:F25)</f>
        <v>5.2258491116056516E-2</v>
      </c>
      <c r="H25" s="6">
        <f t="shared" ref="H25:H30" si="9">MAX(D25:F25)</f>
        <v>0.10898652264876174</v>
      </c>
    </row>
    <row r="26" spans="2:8" ht="23.4" customHeight="1" x14ac:dyDescent="0.25">
      <c r="B26" s="3">
        <v>2</v>
      </c>
      <c r="C26" s="7" t="s">
        <v>11</v>
      </c>
      <c r="D26" s="5">
        <f t="shared" ref="D26:F30" si="10">ABS($C16-D16)</f>
        <v>1.2650221378874171E-2</v>
      </c>
      <c r="E26" s="5">
        <f t="shared" si="10"/>
        <v>1.2200757925871275E-2</v>
      </c>
      <c r="F26" s="5">
        <f t="shared" si="10"/>
        <v>2.8484479610468738E-2</v>
      </c>
      <c r="G26" s="6">
        <f t="shared" ref="G26:G30" si="11">MIN(D26:F26)</f>
        <v>1.2200757925871275E-2</v>
      </c>
      <c r="H26" s="6">
        <f t="shared" si="9"/>
        <v>2.8484479610468738E-2</v>
      </c>
    </row>
    <row r="27" spans="2:8" ht="23.4" customHeight="1" x14ac:dyDescent="0.25">
      <c r="B27" s="3">
        <v>3</v>
      </c>
      <c r="C27" s="7" t="s">
        <v>11</v>
      </c>
      <c r="D27" s="5">
        <f t="shared" si="10"/>
        <v>5.089281370116272E-2</v>
      </c>
      <c r="E27" s="5">
        <f t="shared" si="10"/>
        <v>9.8971183174899613E-3</v>
      </c>
      <c r="F27" s="5">
        <f t="shared" si="10"/>
        <v>3.2052062362470268E-2</v>
      </c>
      <c r="G27" s="6">
        <f t="shared" si="11"/>
        <v>9.8971183174899613E-3</v>
      </c>
      <c r="H27" s="6">
        <f t="shared" si="9"/>
        <v>5.089281370116272E-2</v>
      </c>
    </row>
    <row r="28" spans="2:8" ht="23.4" customHeight="1" x14ac:dyDescent="0.25">
      <c r="B28" s="3">
        <v>4</v>
      </c>
      <c r="C28" s="7" t="s">
        <v>11</v>
      </c>
      <c r="D28" s="5">
        <f t="shared" si="10"/>
        <v>5.5855592857490644E-2</v>
      </c>
      <c r="E28" s="5">
        <f t="shared" si="10"/>
        <v>2.7856975264313855E-2</v>
      </c>
      <c r="F28" s="5">
        <f t="shared" si="10"/>
        <v>2.3315698300482079E-2</v>
      </c>
      <c r="G28" s="6">
        <f t="shared" si="11"/>
        <v>2.3315698300482079E-2</v>
      </c>
      <c r="H28" s="6">
        <f t="shared" si="9"/>
        <v>5.5855592857490644E-2</v>
      </c>
    </row>
    <row r="29" spans="2:8" ht="23.4" customHeight="1" x14ac:dyDescent="0.25">
      <c r="B29" s="3">
        <v>5</v>
      </c>
      <c r="C29" s="7" t="s">
        <v>11</v>
      </c>
      <c r="D29" s="5">
        <f t="shared" si="10"/>
        <v>3.1528244051963306E-2</v>
      </c>
      <c r="E29" s="5">
        <f t="shared" si="10"/>
        <v>4.2233392820323346E-3</v>
      </c>
      <c r="F29" s="5">
        <f t="shared" si="10"/>
        <v>1.974811554848066E-2</v>
      </c>
      <c r="G29" s="6">
        <f t="shared" si="11"/>
        <v>4.2233392820323346E-3</v>
      </c>
      <c r="H29" s="6">
        <f t="shared" si="9"/>
        <v>3.1528244051963306E-2</v>
      </c>
    </row>
    <row r="30" spans="2:8" ht="23.4" customHeight="1" x14ac:dyDescent="0.25">
      <c r="B30" s="3">
        <v>6</v>
      </c>
      <c r="C30" s="7" t="s">
        <v>11</v>
      </c>
      <c r="D30" s="5">
        <f t="shared" si="10"/>
        <v>5.9845278061597007E-2</v>
      </c>
      <c r="E30" s="5">
        <f t="shared" si="10"/>
        <v>5.0722731377135455E-2</v>
      </c>
      <c r="F30" s="5">
        <f t="shared" si="10"/>
        <v>8.6436630928414138E-2</v>
      </c>
      <c r="G30" s="6">
        <f t="shared" si="11"/>
        <v>5.0722731377135455E-2</v>
      </c>
      <c r="H30" s="6">
        <f t="shared" si="9"/>
        <v>8.6436630928414138E-2</v>
      </c>
    </row>
    <row r="31" spans="2:8" ht="23.4" customHeight="1" x14ac:dyDescent="0.25">
      <c r="C31" s="6"/>
      <c r="D31" s="6"/>
      <c r="E31" s="6"/>
      <c r="G31" s="6">
        <f>MIN(G25:G30)</f>
        <v>4.2233392820323346E-3</v>
      </c>
      <c r="H31" s="6">
        <f>MAX(H25:H30)</f>
        <v>0.10898652264876174</v>
      </c>
    </row>
    <row r="32" spans="2:8" ht="23.4" customHeight="1" x14ac:dyDescent="0.25">
      <c r="B32" s="4" t="s">
        <v>2</v>
      </c>
      <c r="C32" s="16" t="s">
        <v>12</v>
      </c>
      <c r="D32" s="16"/>
    </row>
    <row r="33" spans="2:8" ht="23.4" customHeight="1" x14ac:dyDescent="0.25">
      <c r="B33" s="14" t="s">
        <v>3</v>
      </c>
      <c r="C33" s="15"/>
      <c r="D33" s="15"/>
      <c r="E33" s="15"/>
      <c r="F33" s="15"/>
    </row>
    <row r="34" spans="2:8" ht="23.4" customHeight="1" x14ac:dyDescent="0.25">
      <c r="B34" s="3" t="s">
        <v>4</v>
      </c>
      <c r="C34" s="3" t="s">
        <v>5</v>
      </c>
      <c r="D34" s="3" t="s">
        <v>6</v>
      </c>
      <c r="E34" s="3" t="s">
        <v>7</v>
      </c>
      <c r="F34" s="3" t="s">
        <v>8</v>
      </c>
      <c r="G34"/>
      <c r="H34"/>
    </row>
    <row r="35" spans="2:8" ht="23.4" customHeight="1" x14ac:dyDescent="0.25">
      <c r="B35" s="3">
        <v>1</v>
      </c>
      <c r="C35" s="7" t="s">
        <v>11</v>
      </c>
      <c r="D35" s="5">
        <f>($G$31+$H$24*$H$31)/(D25+$H$24*$H$31)</f>
        <v>0.35916734888797935</v>
      </c>
      <c r="E35" s="5">
        <f t="shared" ref="E35:F35" si="12">($G$31+$H$24*$H$31)/(E25+$H$24*$H$31)</f>
        <v>0.55002938372533405</v>
      </c>
      <c r="F35" s="5">
        <f t="shared" si="12"/>
        <v>0.47560302409948729</v>
      </c>
      <c r="G35"/>
      <c r="H35"/>
    </row>
    <row r="36" spans="2:8" ht="23.4" customHeight="1" x14ac:dyDescent="0.25">
      <c r="B36" s="3">
        <v>2</v>
      </c>
      <c r="C36" s="7" t="s">
        <v>11</v>
      </c>
      <c r="D36" s="5">
        <f t="shared" ref="D36:D40" si="13">($G$31+$H$24*$H$31)/(D26+$H$24*$H$31)</f>
        <v>0.8744944146837752</v>
      </c>
      <c r="E36" s="5">
        <f t="shared" ref="E36:F36" si="14">($G$31+$H$24*$H$31)/(E26+$H$24*$H$31)</f>
        <v>0.88038779588457949</v>
      </c>
      <c r="F36" s="5">
        <f t="shared" si="14"/>
        <v>0.7076186932169537</v>
      </c>
      <c r="G36"/>
      <c r="H36"/>
    </row>
    <row r="37" spans="2:8" ht="23.4" customHeight="1" x14ac:dyDescent="0.25">
      <c r="B37" s="3">
        <v>3</v>
      </c>
      <c r="C37" s="7" t="s">
        <v>11</v>
      </c>
      <c r="D37" s="5">
        <f t="shared" si="13"/>
        <v>0.55715710630822346</v>
      </c>
      <c r="E37" s="5">
        <f t="shared" ref="E37:F37" si="15">($G$31+$H$24*$H$31)/(E27+$H$24*$H$31)</f>
        <v>0.91188467800602679</v>
      </c>
      <c r="F37" s="5">
        <f t="shared" si="15"/>
        <v>0.67844914208038298</v>
      </c>
      <c r="G37"/>
      <c r="H37"/>
    </row>
    <row r="38" spans="2:8" ht="23.4" customHeight="1" x14ac:dyDescent="0.25">
      <c r="B38" s="3">
        <v>4</v>
      </c>
      <c r="C38" s="7" t="s">
        <v>11</v>
      </c>
      <c r="D38" s="5">
        <f t="shared" si="13"/>
        <v>0.53209977613033854</v>
      </c>
      <c r="E38" s="5">
        <f t="shared" ref="E38:F38" si="16">($G$31+$H$24*$H$31)/(E28+$H$24*$H$31)</f>
        <v>0.7130107093641791</v>
      </c>
      <c r="F38" s="5">
        <f t="shared" si="16"/>
        <v>0.75462518570484771</v>
      </c>
      <c r="G38"/>
      <c r="H38"/>
    </row>
    <row r="39" spans="2:8" ht="23.4" customHeight="1" x14ac:dyDescent="0.25">
      <c r="B39" s="3">
        <v>5</v>
      </c>
      <c r="C39" s="7" t="s">
        <v>11</v>
      </c>
      <c r="D39" s="5">
        <f t="shared" si="13"/>
        <v>0.68258048204955279</v>
      </c>
      <c r="E39" s="5">
        <f t="shared" ref="E39:F39" si="17">($G$31+$H$24*$H$31)/(E29+$H$24*$H$31)</f>
        <v>1</v>
      </c>
      <c r="F39" s="5">
        <f t="shared" si="17"/>
        <v>0.79088781862121804</v>
      </c>
      <c r="G39"/>
      <c r="H39"/>
    </row>
    <row r="40" spans="2:8" ht="23.4" customHeight="1" x14ac:dyDescent="0.25">
      <c r="B40" s="3">
        <v>6</v>
      </c>
      <c r="C40" s="7" t="s">
        <v>11</v>
      </c>
      <c r="D40" s="5">
        <f t="shared" si="13"/>
        <v>0.51353289032493998</v>
      </c>
      <c r="E40" s="5">
        <f t="shared" ref="E40:F40" si="18">($G$31+$H$24*$H$31)/(E30+$H$24*$H$31)</f>
        <v>0.55805775432813087</v>
      </c>
      <c r="F40" s="5">
        <f t="shared" si="18"/>
        <v>0.41663695095352421</v>
      </c>
      <c r="G40"/>
      <c r="H40"/>
    </row>
    <row r="41" spans="2:8" ht="23.4" customHeight="1" x14ac:dyDescent="0.25">
      <c r="B41" s="3" t="s">
        <v>9</v>
      </c>
      <c r="C41" s="7" t="s">
        <v>11</v>
      </c>
      <c r="D41" s="5">
        <f>SUM(D35:D40)/6</f>
        <v>0.58650533639746827</v>
      </c>
      <c r="E41" s="5">
        <f t="shared" ref="E41:F41" si="19">SUM(E35:E40)/6</f>
        <v>0.76889505355137489</v>
      </c>
      <c r="F41" s="5">
        <f t="shared" si="19"/>
        <v>0.63730346911273572</v>
      </c>
      <c r="G41"/>
      <c r="H41"/>
    </row>
    <row r="42" spans="2:8" ht="23.4" customHeight="1" x14ac:dyDescent="4.1500000000000004">
      <c r="C42"/>
      <c r="D42"/>
      <c r="E42"/>
      <c r="F42"/>
      <c r="G42" s="18" t="s">
        <v>33</v>
      </c>
      <c r="H42"/>
    </row>
    <row r="43" spans="2:8" ht="23.4" customHeight="1" x14ac:dyDescent="0.25">
      <c r="C43"/>
      <c r="D43"/>
      <c r="E43"/>
      <c r="F43"/>
      <c r="G43"/>
      <c r="H43"/>
    </row>
    <row r="44" spans="2:8" ht="23.4" customHeight="1" x14ac:dyDescent="0.25">
      <c r="C44"/>
      <c r="D44"/>
      <c r="E44"/>
      <c r="F44"/>
      <c r="G44"/>
      <c r="H44"/>
    </row>
    <row r="45" spans="2:8" ht="23.4" customHeight="1" x14ac:dyDescent="0.25">
      <c r="C45"/>
      <c r="D45"/>
      <c r="E45"/>
      <c r="F45"/>
      <c r="G45"/>
      <c r="H45"/>
    </row>
    <row r="46" spans="2:8" ht="23.4" customHeight="1" x14ac:dyDescent="0.25">
      <c r="C46"/>
      <c r="D46"/>
      <c r="E46"/>
      <c r="F46"/>
      <c r="G46"/>
      <c r="H46"/>
    </row>
    <row r="47" spans="2:8" ht="23.4" customHeight="1" x14ac:dyDescent="0.25">
      <c r="C47"/>
      <c r="D47"/>
      <c r="E47"/>
      <c r="F47"/>
      <c r="G47"/>
      <c r="H47"/>
    </row>
    <row r="48" spans="2:8" ht="23.4" customHeight="1" x14ac:dyDescent="0.25">
      <c r="C48"/>
      <c r="D48"/>
      <c r="E48"/>
      <c r="F48"/>
      <c r="G48"/>
      <c r="H48"/>
    </row>
    <row r="49" spans="3:8" ht="23.4" customHeight="1" x14ac:dyDescent="0.25">
      <c r="C49"/>
      <c r="D49"/>
      <c r="E49"/>
      <c r="F49"/>
      <c r="G49"/>
      <c r="H49"/>
    </row>
    <row r="50" spans="3:8" ht="23.4" customHeight="1" x14ac:dyDescent="0.25">
      <c r="C50"/>
      <c r="D50"/>
      <c r="E50"/>
      <c r="F50"/>
      <c r="G50"/>
      <c r="H50"/>
    </row>
    <row r="51" spans="3:8" ht="23.4" customHeight="1" x14ac:dyDescent="0.25">
      <c r="C51"/>
      <c r="D51"/>
      <c r="E51"/>
      <c r="F51"/>
      <c r="G51"/>
      <c r="H51"/>
    </row>
    <row r="52" spans="3:8" ht="23.4" customHeight="1" x14ac:dyDescent="0.25">
      <c r="C52"/>
      <c r="D52"/>
      <c r="E52"/>
      <c r="F52"/>
      <c r="G52"/>
      <c r="H52"/>
    </row>
    <row r="53" spans="3:8" ht="23.4" customHeight="1" x14ac:dyDescent="0.25">
      <c r="C53"/>
      <c r="D53"/>
      <c r="E53"/>
      <c r="F53"/>
      <c r="G53"/>
      <c r="H53"/>
    </row>
  </sheetData>
  <mergeCells count="7">
    <mergeCell ref="B33:F33"/>
    <mergeCell ref="C32:D32"/>
    <mergeCell ref="C12:D12"/>
    <mergeCell ref="C22:D22"/>
    <mergeCell ref="B2:F2"/>
    <mergeCell ref="B13:F13"/>
    <mergeCell ref="B23:F2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BA0CD-2202-422D-81EF-C5DB55CE7454}">
  <dimension ref="B1:R51"/>
  <sheetViews>
    <sheetView tabSelected="1" zoomScaleNormal="100" workbookViewId="0">
      <selection activeCell="H4" sqref="H4"/>
    </sheetView>
  </sheetViews>
  <sheetFormatPr defaultColWidth="9" defaultRowHeight="13.8" x14ac:dyDescent="0.25"/>
  <cols>
    <col min="1" max="1" width="9" style="1"/>
    <col min="2" max="2" width="7.88671875" style="1" customWidth="1"/>
    <col min="3" max="6" width="15.33203125" style="1" customWidth="1"/>
    <col min="7" max="7" width="10" style="1" customWidth="1"/>
    <col min="8" max="16384" width="9" style="1"/>
  </cols>
  <sheetData>
    <row r="1" spans="2:18" ht="23.4" customHeight="1" x14ac:dyDescent="0.25">
      <c r="I1"/>
      <c r="J1"/>
      <c r="K1"/>
      <c r="L1"/>
      <c r="M1"/>
      <c r="N1"/>
      <c r="O1"/>
      <c r="P1"/>
      <c r="Q1"/>
      <c r="R1"/>
    </row>
    <row r="2" spans="2:18" ht="23.4" customHeight="1" x14ac:dyDescent="0.25">
      <c r="B2" s="17" t="s">
        <v>14</v>
      </c>
      <c r="C2" s="17"/>
      <c r="D2" s="17"/>
      <c r="E2" s="17"/>
      <c r="F2" s="17"/>
      <c r="I2"/>
      <c r="J2"/>
      <c r="K2"/>
      <c r="L2"/>
      <c r="M2"/>
      <c r="N2"/>
      <c r="O2"/>
      <c r="P2"/>
      <c r="Q2"/>
      <c r="R2"/>
    </row>
    <row r="3" spans="2:18" ht="23.4" customHeight="1" x14ac:dyDescent="0.25"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I3"/>
      <c r="J3"/>
      <c r="K3"/>
      <c r="L3"/>
      <c r="M3"/>
      <c r="N3"/>
      <c r="O3"/>
      <c r="P3"/>
      <c r="Q3"/>
      <c r="R3"/>
    </row>
    <row r="4" spans="2:18" ht="23.4" customHeight="1" x14ac:dyDescent="0.25">
      <c r="B4" s="3" t="s">
        <v>20</v>
      </c>
      <c r="C4" s="2">
        <v>80</v>
      </c>
      <c r="D4" s="11">
        <v>0.18</v>
      </c>
      <c r="E4" s="2">
        <v>3.2</v>
      </c>
      <c r="F4" s="2">
        <v>8.5</v>
      </c>
      <c r="I4"/>
      <c r="J4"/>
      <c r="K4"/>
      <c r="L4"/>
      <c r="M4"/>
      <c r="N4"/>
      <c r="O4"/>
      <c r="P4"/>
      <c r="Q4"/>
      <c r="R4"/>
    </row>
    <row r="5" spans="2:18" ht="23.4" customHeight="1" x14ac:dyDescent="0.25">
      <c r="B5" s="3" t="s">
        <v>21</v>
      </c>
      <c r="C5" s="2">
        <v>75</v>
      </c>
      <c r="D5" s="11">
        <v>0.16500000000000001</v>
      </c>
      <c r="E5" s="2">
        <v>2.8</v>
      </c>
      <c r="F5" s="2">
        <v>7.8</v>
      </c>
      <c r="I5"/>
      <c r="J5"/>
      <c r="K5"/>
      <c r="L5"/>
      <c r="M5"/>
      <c r="N5"/>
      <c r="O5"/>
      <c r="P5"/>
      <c r="Q5"/>
      <c r="R5"/>
    </row>
    <row r="6" spans="2:18" ht="23.4" customHeight="1" x14ac:dyDescent="0.25">
      <c r="B6" s="3" t="s">
        <v>22</v>
      </c>
      <c r="C6" s="2">
        <v>90</v>
      </c>
      <c r="D6" s="11">
        <v>0.155</v>
      </c>
      <c r="E6" s="2">
        <v>2.7</v>
      </c>
      <c r="F6" s="2">
        <v>9.1999999999999993</v>
      </c>
      <c r="I6"/>
      <c r="J6"/>
      <c r="K6"/>
      <c r="L6"/>
      <c r="M6"/>
      <c r="N6"/>
      <c r="O6"/>
      <c r="P6"/>
      <c r="Q6"/>
      <c r="R6"/>
    </row>
    <row r="7" spans="2:18" ht="23.4" customHeight="1" x14ac:dyDescent="0.25">
      <c r="B7" s="3" t="s">
        <v>23</v>
      </c>
      <c r="C7" s="2">
        <v>70</v>
      </c>
      <c r="D7" s="11">
        <v>0.15</v>
      </c>
      <c r="E7" s="2">
        <v>2.5</v>
      </c>
      <c r="F7" s="2">
        <v>7.5</v>
      </c>
      <c r="I7"/>
      <c r="J7"/>
      <c r="K7"/>
      <c r="L7"/>
      <c r="M7"/>
      <c r="N7"/>
      <c r="O7"/>
      <c r="P7"/>
      <c r="Q7"/>
      <c r="R7"/>
    </row>
    <row r="8" spans="2:18" ht="23.4" customHeight="1" x14ac:dyDescent="0.25">
      <c r="B8" s="3" t="s">
        <v>24</v>
      </c>
      <c r="C8" s="2">
        <v>85</v>
      </c>
      <c r="D8" s="11">
        <v>0.19</v>
      </c>
      <c r="E8" s="2">
        <v>3</v>
      </c>
      <c r="F8" s="2">
        <v>8</v>
      </c>
      <c r="I8"/>
      <c r="J8"/>
      <c r="K8"/>
      <c r="L8"/>
      <c r="M8"/>
      <c r="N8"/>
      <c r="O8"/>
      <c r="P8"/>
      <c r="Q8"/>
      <c r="R8"/>
    </row>
    <row r="9" spans="2:18" ht="23.4" customHeight="1" x14ac:dyDescent="0.25">
      <c r="B9" s="3" t="s">
        <v>9</v>
      </c>
      <c r="C9" s="2">
        <f>SUM(C4:C8)/5</f>
        <v>80</v>
      </c>
      <c r="D9" s="2">
        <f t="shared" ref="D9:F9" si="0">SUM(D4:D8)/5</f>
        <v>0.16800000000000001</v>
      </c>
      <c r="E9" s="2">
        <f t="shared" si="0"/>
        <v>2.84</v>
      </c>
      <c r="F9" s="2">
        <f t="shared" si="0"/>
        <v>8.1999999999999993</v>
      </c>
      <c r="I9"/>
      <c r="J9"/>
      <c r="K9"/>
      <c r="L9"/>
      <c r="M9"/>
      <c r="N9"/>
      <c r="O9"/>
      <c r="P9"/>
      <c r="Q9"/>
      <c r="R9"/>
    </row>
    <row r="10" spans="2:18" ht="23.4" customHeight="1" x14ac:dyDescent="0.25">
      <c r="I10"/>
      <c r="J10"/>
      <c r="K10"/>
      <c r="L10"/>
      <c r="M10"/>
      <c r="N10"/>
      <c r="O10"/>
      <c r="P10"/>
      <c r="Q10"/>
      <c r="R10"/>
    </row>
    <row r="11" spans="2:18" ht="23.4" customHeight="1" x14ac:dyDescent="0.25">
      <c r="B11" s="4" t="s">
        <v>0</v>
      </c>
      <c r="C11" s="16" t="s">
        <v>30</v>
      </c>
      <c r="D11" s="16"/>
      <c r="I11"/>
      <c r="J11"/>
      <c r="K11"/>
      <c r="L11"/>
      <c r="M11"/>
      <c r="N11"/>
      <c r="O11"/>
      <c r="P11"/>
      <c r="Q11"/>
      <c r="R11"/>
    </row>
    <row r="12" spans="2:18" ht="23.4" customHeight="1" x14ac:dyDescent="0.25">
      <c r="B12" s="17" t="s">
        <v>14</v>
      </c>
      <c r="C12" s="17"/>
      <c r="D12" s="17"/>
      <c r="E12" s="17"/>
      <c r="F12" s="17"/>
      <c r="I12"/>
      <c r="J12"/>
      <c r="K12"/>
      <c r="L12"/>
      <c r="M12"/>
      <c r="N12"/>
      <c r="O12"/>
      <c r="P12"/>
      <c r="Q12"/>
      <c r="R12"/>
    </row>
    <row r="13" spans="2:18" ht="23.4" customHeight="1" x14ac:dyDescent="0.25"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I13"/>
      <c r="J13"/>
      <c r="K13"/>
      <c r="L13"/>
      <c r="M13"/>
      <c r="N13"/>
      <c r="O13"/>
      <c r="P13"/>
      <c r="Q13"/>
      <c r="R13"/>
    </row>
    <row r="14" spans="2:18" ht="23.4" customHeight="1" x14ac:dyDescent="0.25">
      <c r="B14" s="3" t="s">
        <v>20</v>
      </c>
      <c r="C14" s="7">
        <f>C4/C$9</f>
        <v>1</v>
      </c>
      <c r="D14" s="7">
        <f t="shared" ref="D14:F14" si="1">D4/D$9</f>
        <v>1.0714285714285714</v>
      </c>
      <c r="E14" s="7">
        <f t="shared" si="1"/>
        <v>1.1267605633802817</v>
      </c>
      <c r="F14" s="7">
        <f t="shared" si="1"/>
        <v>1.0365853658536586</v>
      </c>
      <c r="I14"/>
      <c r="J14"/>
      <c r="K14"/>
      <c r="L14"/>
      <c r="M14"/>
      <c r="N14"/>
      <c r="O14"/>
      <c r="P14"/>
      <c r="Q14"/>
      <c r="R14"/>
    </row>
    <row r="15" spans="2:18" ht="23.4" customHeight="1" x14ac:dyDescent="0.25">
      <c r="B15" s="3" t="s">
        <v>21</v>
      </c>
      <c r="C15" s="7">
        <f t="shared" ref="C15:F18" si="2">C5/C$9</f>
        <v>0.9375</v>
      </c>
      <c r="D15" s="7">
        <f t="shared" si="2"/>
        <v>0.9821428571428571</v>
      </c>
      <c r="E15" s="7">
        <f t="shared" si="2"/>
        <v>0.9859154929577465</v>
      </c>
      <c r="F15" s="7">
        <f t="shared" si="2"/>
        <v>0.95121951219512202</v>
      </c>
      <c r="I15"/>
      <c r="J15"/>
      <c r="K15"/>
      <c r="L15"/>
      <c r="M15"/>
      <c r="N15"/>
      <c r="O15"/>
      <c r="P15"/>
      <c r="Q15"/>
      <c r="R15"/>
    </row>
    <row r="16" spans="2:18" ht="23.4" customHeight="1" x14ac:dyDescent="0.25">
      <c r="B16" s="3" t="s">
        <v>22</v>
      </c>
      <c r="C16" s="7">
        <f t="shared" si="2"/>
        <v>1.125</v>
      </c>
      <c r="D16" s="7">
        <f t="shared" si="2"/>
        <v>0.92261904761904756</v>
      </c>
      <c r="E16" s="7">
        <f t="shared" si="2"/>
        <v>0.95070422535211274</v>
      </c>
      <c r="F16" s="7">
        <f t="shared" si="2"/>
        <v>1.1219512195121952</v>
      </c>
    </row>
    <row r="17" spans="2:8" ht="23.4" customHeight="1" x14ac:dyDescent="0.25">
      <c r="B17" s="3" t="s">
        <v>23</v>
      </c>
      <c r="C17" s="7">
        <f t="shared" si="2"/>
        <v>0.875</v>
      </c>
      <c r="D17" s="7">
        <f t="shared" si="2"/>
        <v>0.89285714285714279</v>
      </c>
      <c r="E17" s="7">
        <f t="shared" si="2"/>
        <v>0.88028169014084512</v>
      </c>
      <c r="F17" s="7">
        <f t="shared" si="2"/>
        <v>0.91463414634146345</v>
      </c>
    </row>
    <row r="18" spans="2:8" ht="23.4" customHeight="1" x14ac:dyDescent="0.25">
      <c r="B18" s="3" t="s">
        <v>24</v>
      </c>
      <c r="C18" s="7">
        <f t="shared" si="2"/>
        <v>1.0625</v>
      </c>
      <c r="D18" s="7">
        <f t="shared" si="2"/>
        <v>1.1309523809523809</v>
      </c>
      <c r="E18" s="7">
        <f t="shared" si="2"/>
        <v>1.0563380281690142</v>
      </c>
      <c r="F18" s="7">
        <f t="shared" si="2"/>
        <v>0.97560975609756106</v>
      </c>
    </row>
    <row r="19" spans="2:8" ht="23.4" customHeight="1" x14ac:dyDescent="0.25">
      <c r="B19" s="3" t="s">
        <v>26</v>
      </c>
      <c r="C19" s="7">
        <f>MAX(C14:C18)</f>
        <v>1.125</v>
      </c>
      <c r="D19" s="7">
        <f t="shared" ref="D19:F19" si="3">MAX(D14:D18)</f>
        <v>1.1309523809523809</v>
      </c>
      <c r="E19" s="7">
        <f t="shared" si="3"/>
        <v>1.1267605633802817</v>
      </c>
      <c r="F19" s="7">
        <f t="shared" si="3"/>
        <v>1.1219512195121952</v>
      </c>
      <c r="G19"/>
      <c r="H19"/>
    </row>
    <row r="20" spans="2:8" ht="24.6" customHeight="1" x14ac:dyDescent="0.25"/>
    <row r="21" spans="2:8" ht="23.4" customHeight="1" x14ac:dyDescent="0.25">
      <c r="B21" s="4" t="s">
        <v>1</v>
      </c>
      <c r="C21" s="16" t="s">
        <v>10</v>
      </c>
      <c r="D21" s="16"/>
    </row>
    <row r="22" spans="2:8" ht="23.4" customHeight="1" x14ac:dyDescent="0.25">
      <c r="B22" s="17" t="s">
        <v>14</v>
      </c>
      <c r="C22" s="17"/>
      <c r="D22" s="17"/>
      <c r="E22" s="17"/>
      <c r="F22" s="17"/>
    </row>
    <row r="23" spans="2:8" ht="23.4" customHeight="1" x14ac:dyDescent="0.25">
      <c r="B23" s="3" t="s">
        <v>15</v>
      </c>
      <c r="C23" s="3" t="s">
        <v>16</v>
      </c>
      <c r="D23" s="3" t="s">
        <v>17</v>
      </c>
      <c r="E23" s="3" t="s">
        <v>18</v>
      </c>
      <c r="F23" s="3" t="s">
        <v>19</v>
      </c>
      <c r="G23" s="9" t="s">
        <v>13</v>
      </c>
      <c r="H23" s="10">
        <v>0.5</v>
      </c>
    </row>
    <row r="24" spans="2:8" ht="23.4" customHeight="1" x14ac:dyDescent="0.25">
      <c r="B24" s="3">
        <v>1</v>
      </c>
      <c r="C24" s="7">
        <f t="shared" ref="C24:F28" si="4">ABS(C$19-C14)</f>
        <v>0.125</v>
      </c>
      <c r="D24" s="7">
        <f>ABS(D$19-D14)</f>
        <v>5.9523809523809534E-2</v>
      </c>
      <c r="E24" s="7">
        <f t="shared" si="4"/>
        <v>0</v>
      </c>
      <c r="F24" s="7">
        <f t="shared" si="4"/>
        <v>8.5365853658536661E-2</v>
      </c>
      <c r="G24" s="6"/>
      <c r="H24" s="6"/>
    </row>
    <row r="25" spans="2:8" ht="23.4" customHeight="1" x14ac:dyDescent="0.25">
      <c r="B25" s="3">
        <v>2</v>
      </c>
      <c r="C25" s="7">
        <f t="shared" si="4"/>
        <v>0.1875</v>
      </c>
      <c r="D25" s="7">
        <f t="shared" si="4"/>
        <v>0.14880952380952384</v>
      </c>
      <c r="E25" s="7">
        <f t="shared" si="4"/>
        <v>0.14084507042253525</v>
      </c>
      <c r="F25" s="7">
        <f t="shared" si="4"/>
        <v>0.17073170731707321</v>
      </c>
      <c r="G25" s="6"/>
      <c r="H25" s="6"/>
    </row>
    <row r="26" spans="2:8" ht="23.4" customHeight="1" x14ac:dyDescent="0.25">
      <c r="B26" s="3">
        <v>3</v>
      </c>
      <c r="C26" s="7">
        <f t="shared" si="4"/>
        <v>0</v>
      </c>
      <c r="D26" s="7">
        <f t="shared" si="4"/>
        <v>0.20833333333333337</v>
      </c>
      <c r="E26" s="7">
        <f t="shared" si="4"/>
        <v>0.176056338028169</v>
      </c>
      <c r="F26" s="7">
        <f t="shared" si="4"/>
        <v>0</v>
      </c>
      <c r="G26" s="6"/>
      <c r="H26" s="6"/>
    </row>
    <row r="27" spans="2:8" ht="23.4" customHeight="1" x14ac:dyDescent="0.25">
      <c r="B27" s="3">
        <v>4</v>
      </c>
      <c r="C27" s="7">
        <f t="shared" si="4"/>
        <v>0.25</v>
      </c>
      <c r="D27" s="7">
        <f t="shared" si="4"/>
        <v>0.23809523809523814</v>
      </c>
      <c r="E27" s="7">
        <f t="shared" si="4"/>
        <v>0.24647887323943662</v>
      </c>
      <c r="F27" s="7">
        <f t="shared" si="4"/>
        <v>0.20731707317073178</v>
      </c>
      <c r="G27" s="6"/>
      <c r="H27" s="6"/>
    </row>
    <row r="28" spans="2:8" ht="23.4" customHeight="1" x14ac:dyDescent="0.25">
      <c r="B28" s="3">
        <v>5</v>
      </c>
      <c r="C28" s="7">
        <f t="shared" si="4"/>
        <v>6.25E-2</v>
      </c>
      <c r="D28" s="7">
        <f t="shared" si="4"/>
        <v>0</v>
      </c>
      <c r="E28" s="7">
        <f t="shared" si="4"/>
        <v>7.0422535211267512E-2</v>
      </c>
      <c r="F28" s="7">
        <f t="shared" si="4"/>
        <v>0.14634146341463417</v>
      </c>
      <c r="G28" s="6"/>
      <c r="H28" s="6"/>
    </row>
    <row r="29" spans="2:8" ht="23.4" customHeight="1" x14ac:dyDescent="0.25">
      <c r="B29" s="3" t="s">
        <v>25</v>
      </c>
      <c r="C29" s="7">
        <f>MIN(C24:C28)</f>
        <v>0</v>
      </c>
      <c r="D29" s="7">
        <f t="shared" ref="D29:F29" si="5">MIN(D24:D28)</f>
        <v>0</v>
      </c>
      <c r="E29" s="7">
        <f t="shared" si="5"/>
        <v>0</v>
      </c>
      <c r="F29" s="7">
        <f t="shared" si="5"/>
        <v>0</v>
      </c>
      <c r="G29" s="3" t="s">
        <v>29</v>
      </c>
      <c r="H29" s="6">
        <f>MIN(C29:F29)</f>
        <v>0</v>
      </c>
    </row>
    <row r="30" spans="2:8" ht="23.4" customHeight="1" x14ac:dyDescent="0.25">
      <c r="B30" s="3" t="s">
        <v>26</v>
      </c>
      <c r="C30" s="7">
        <f>MAX(C24:C28)</f>
        <v>0.25</v>
      </c>
      <c r="D30" s="7">
        <f t="shared" ref="D30:F30" si="6">MAX(D24:D28)</f>
        <v>0.23809523809523814</v>
      </c>
      <c r="E30" s="7">
        <f t="shared" si="6"/>
        <v>0.24647887323943662</v>
      </c>
      <c r="F30" s="7">
        <f t="shared" si="6"/>
        <v>0.20731707317073178</v>
      </c>
      <c r="G30" s="3" t="s">
        <v>28</v>
      </c>
      <c r="H30" s="6">
        <f>MAX(C30:F30)</f>
        <v>0.25</v>
      </c>
    </row>
    <row r="31" spans="2:8" ht="23.4" customHeight="1" x14ac:dyDescent="0.25">
      <c r="C31" s="6"/>
      <c r="D31" s="6"/>
      <c r="E31" s="6"/>
      <c r="G31" s="6"/>
      <c r="H31" s="6"/>
    </row>
    <row r="32" spans="2:8" ht="23.4" customHeight="1" x14ac:dyDescent="0.25">
      <c r="B32" s="4" t="s">
        <v>2</v>
      </c>
      <c r="C32" s="16" t="s">
        <v>31</v>
      </c>
      <c r="D32" s="16"/>
    </row>
    <row r="33" spans="2:11" ht="23.4" customHeight="1" x14ac:dyDescent="0.25">
      <c r="B33" s="17" t="s">
        <v>14</v>
      </c>
      <c r="C33" s="17"/>
      <c r="D33" s="17"/>
      <c r="E33" s="17"/>
      <c r="F33" s="17"/>
      <c r="G33" s="17" t="s">
        <v>27</v>
      </c>
    </row>
    <row r="34" spans="2:11" ht="23.4" customHeight="1" x14ac:dyDescent="0.25">
      <c r="B34" s="3" t="s">
        <v>15</v>
      </c>
      <c r="C34" s="3" t="s">
        <v>16</v>
      </c>
      <c r="D34" s="3" t="s">
        <v>17</v>
      </c>
      <c r="E34" s="3" t="s">
        <v>18</v>
      </c>
      <c r="F34" s="3" t="s">
        <v>19</v>
      </c>
      <c r="G34" s="17"/>
      <c r="H34"/>
      <c r="I34"/>
      <c r="J34"/>
      <c r="K34"/>
    </row>
    <row r="35" spans="2:11" ht="23.4" customHeight="1" x14ac:dyDescent="0.25">
      <c r="B35" s="3">
        <v>1</v>
      </c>
      <c r="C35" s="5">
        <f>($H$29+$H$23*$H$30)/(C24+$H$23*$H$30)</f>
        <v>0.5</v>
      </c>
      <c r="D35" s="5">
        <f t="shared" ref="D35:F35" si="7">($H$29+$H$23*$H$30)/(D24+$H$23*$H$30)</f>
        <v>0.67741935483870963</v>
      </c>
      <c r="E35" s="5">
        <f t="shared" si="7"/>
        <v>1</v>
      </c>
      <c r="F35" s="5">
        <f t="shared" si="7"/>
        <v>0.59420289855072439</v>
      </c>
      <c r="G35" s="12">
        <f>SUM(C35:F35)/4</f>
        <v>0.69290556334735842</v>
      </c>
      <c r="H35"/>
      <c r="I35"/>
      <c r="J35"/>
      <c r="K35"/>
    </row>
    <row r="36" spans="2:11" ht="23.4" customHeight="1" x14ac:dyDescent="0.25">
      <c r="B36" s="3">
        <v>2</v>
      </c>
      <c r="C36" s="5">
        <f t="shared" ref="C36:F39" si="8">($H$29+$H$23*$H$30)/(C25+$H$23*$H$30)</f>
        <v>0.4</v>
      </c>
      <c r="D36" s="5">
        <f t="shared" si="8"/>
        <v>0.45652173913043476</v>
      </c>
      <c r="E36" s="5">
        <f t="shared" si="8"/>
        <v>0.4701986754966887</v>
      </c>
      <c r="F36" s="5">
        <f t="shared" si="8"/>
        <v>0.42268041237113396</v>
      </c>
      <c r="G36" s="12">
        <f t="shared" ref="G36:G39" si="9">SUM(C36:F36)/4</f>
        <v>0.43735020674956437</v>
      </c>
      <c r="H36"/>
      <c r="I36"/>
      <c r="J36"/>
      <c r="K36"/>
    </row>
    <row r="37" spans="2:11" ht="23.4" customHeight="1" x14ac:dyDescent="0.25">
      <c r="B37" s="3">
        <v>3</v>
      </c>
      <c r="C37" s="5">
        <f t="shared" si="8"/>
        <v>1</v>
      </c>
      <c r="D37" s="5">
        <f t="shared" si="8"/>
        <v>0.37499999999999994</v>
      </c>
      <c r="E37" s="5">
        <f t="shared" si="8"/>
        <v>0.41520467836257313</v>
      </c>
      <c r="F37" s="5">
        <f t="shared" si="8"/>
        <v>1</v>
      </c>
      <c r="G37" s="12">
        <f t="shared" si="9"/>
        <v>0.69755116959064334</v>
      </c>
      <c r="H37"/>
      <c r="I37"/>
      <c r="J37"/>
      <c r="K37"/>
    </row>
    <row r="38" spans="2:11" ht="23.4" customHeight="1" x14ac:dyDescent="0.25">
      <c r="B38" s="3">
        <v>4</v>
      </c>
      <c r="C38" s="5">
        <f t="shared" si="8"/>
        <v>0.33333333333333331</v>
      </c>
      <c r="D38" s="5">
        <f t="shared" si="8"/>
        <v>0.34426229508196715</v>
      </c>
      <c r="E38" s="5">
        <f t="shared" si="8"/>
        <v>0.33649289099526064</v>
      </c>
      <c r="F38" s="5">
        <f t="shared" si="8"/>
        <v>0.3761467889908256</v>
      </c>
      <c r="G38" s="12">
        <f t="shared" si="9"/>
        <v>0.34755882710034669</v>
      </c>
      <c r="H38"/>
      <c r="I38"/>
      <c r="J38"/>
      <c r="K38"/>
    </row>
    <row r="39" spans="2:11" ht="23.4" customHeight="1" x14ac:dyDescent="0.25">
      <c r="B39" s="3">
        <v>5</v>
      </c>
      <c r="C39" s="5">
        <f t="shared" si="8"/>
        <v>0.66666666666666663</v>
      </c>
      <c r="D39" s="5">
        <f t="shared" si="8"/>
        <v>1</v>
      </c>
      <c r="E39" s="5">
        <f t="shared" si="8"/>
        <v>0.63963963963963999</v>
      </c>
      <c r="F39" s="5">
        <f t="shared" si="8"/>
        <v>0.46067415730337075</v>
      </c>
      <c r="G39" s="12">
        <f t="shared" si="9"/>
        <v>0.69174511590241938</v>
      </c>
      <c r="H39"/>
      <c r="I39"/>
      <c r="J39"/>
      <c r="K39"/>
    </row>
    <row r="40" spans="2:11" ht="23.4" customHeight="1" x14ac:dyDescent="0.25">
      <c r="C40"/>
      <c r="D40"/>
      <c r="E40"/>
      <c r="F40"/>
      <c r="G40" s="13"/>
      <c r="H40"/>
      <c r="I40"/>
      <c r="J40"/>
      <c r="K40"/>
    </row>
    <row r="41" spans="2:11" ht="23.4" customHeight="1" x14ac:dyDescent="0.25">
      <c r="C41"/>
      <c r="D41"/>
      <c r="E41"/>
      <c r="F41"/>
      <c r="G41" s="13"/>
      <c r="H41"/>
      <c r="I41"/>
      <c r="J41"/>
      <c r="K41"/>
    </row>
    <row r="42" spans="2:11" ht="23.4" customHeight="1" x14ac:dyDescent="0.25">
      <c r="C42"/>
      <c r="D42"/>
      <c r="E42"/>
      <c r="F42"/>
      <c r="G42" s="13"/>
      <c r="H42"/>
      <c r="I42"/>
      <c r="J42"/>
      <c r="K42"/>
    </row>
    <row r="43" spans="2:11" ht="23.4" customHeight="1" x14ac:dyDescent="0.25">
      <c r="C43"/>
      <c r="D43"/>
      <c r="E43"/>
      <c r="F43"/>
      <c r="G43"/>
      <c r="H43"/>
      <c r="I43"/>
      <c r="J43"/>
      <c r="K43"/>
    </row>
    <row r="44" spans="2:11" ht="23.4" customHeight="1" x14ac:dyDescent="0.25">
      <c r="C44"/>
      <c r="D44"/>
      <c r="E44"/>
      <c r="F44"/>
      <c r="G44"/>
      <c r="H44"/>
      <c r="I44"/>
      <c r="J44"/>
      <c r="K44"/>
    </row>
    <row r="45" spans="2:11" ht="23.4" customHeight="1" x14ac:dyDescent="0.25">
      <c r="C45"/>
      <c r="D45"/>
      <c r="E45"/>
      <c r="F45"/>
      <c r="G45"/>
      <c r="H45"/>
      <c r="I45"/>
      <c r="J45"/>
      <c r="K45"/>
    </row>
    <row r="46" spans="2:11" ht="23.4" customHeight="1" x14ac:dyDescent="0.25">
      <c r="C46"/>
      <c r="D46"/>
      <c r="E46"/>
      <c r="F46"/>
      <c r="G46"/>
      <c r="H46"/>
      <c r="I46"/>
      <c r="J46"/>
      <c r="K46"/>
    </row>
    <row r="47" spans="2:11" ht="23.4" customHeight="1" x14ac:dyDescent="0.25">
      <c r="C47"/>
      <c r="D47"/>
      <c r="E47"/>
      <c r="F47"/>
      <c r="G47"/>
      <c r="H47"/>
      <c r="I47"/>
      <c r="J47"/>
      <c r="K47"/>
    </row>
    <row r="48" spans="2:11" ht="23.4" customHeight="1" x14ac:dyDescent="0.25">
      <c r="C48"/>
      <c r="D48"/>
      <c r="E48"/>
      <c r="F48"/>
      <c r="G48"/>
      <c r="H48"/>
      <c r="I48"/>
      <c r="J48"/>
      <c r="K48"/>
    </row>
    <row r="49" spans="3:11" ht="23.4" customHeight="1" x14ac:dyDescent="0.25">
      <c r="C49"/>
      <c r="D49"/>
      <c r="E49"/>
      <c r="F49"/>
      <c r="G49"/>
      <c r="H49"/>
      <c r="I49"/>
      <c r="J49"/>
      <c r="K49"/>
    </row>
    <row r="50" spans="3:11" ht="23.4" customHeight="1" x14ac:dyDescent="0.25">
      <c r="C50"/>
      <c r="D50"/>
      <c r="E50"/>
      <c r="F50"/>
      <c r="G50"/>
      <c r="H50"/>
      <c r="I50"/>
      <c r="J50"/>
      <c r="K50"/>
    </row>
    <row r="51" spans="3:11" ht="23.4" customHeight="1" x14ac:dyDescent="0.25">
      <c r="C51"/>
      <c r="D51"/>
      <c r="E51"/>
      <c r="F51"/>
      <c r="G51"/>
      <c r="H51"/>
      <c r="I51"/>
      <c r="J51"/>
      <c r="K51"/>
    </row>
  </sheetData>
  <mergeCells count="8">
    <mergeCell ref="G33:G34"/>
    <mergeCell ref="B33:F33"/>
    <mergeCell ref="B2:F2"/>
    <mergeCell ref="C11:D11"/>
    <mergeCell ref="B12:F12"/>
    <mergeCell ref="C21:D21"/>
    <mergeCell ref="B22:F22"/>
    <mergeCell ref="C32:D3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灰色关联分析1</vt:lpstr>
      <vt:lpstr>灰色关联分析2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寸 三</cp:lastModifiedBy>
  <dcterms:created xsi:type="dcterms:W3CDTF">2015-06-05T18:19:34Z</dcterms:created>
  <dcterms:modified xsi:type="dcterms:W3CDTF">2025-07-27T06:50:27Z</dcterms:modified>
</cp:coreProperties>
</file>