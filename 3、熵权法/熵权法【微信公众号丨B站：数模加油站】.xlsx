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01-工作\0. 科思通途\3. 公司基本工作\2. 竞赛\01. 数学建模\1. 数学建模视频\01-数学建模算法精讲\01-韩\03-评价类-熵权法\"/>
    </mc:Choice>
  </mc:AlternateContent>
  <xr:revisionPtr revIDLastSave="0" documentId="13_ncr:1_{9DFA361F-C63E-4E24-BFC5-17536167DA5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熵权法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4" l="1"/>
  <c r="D16" i="4"/>
  <c r="C16" i="4"/>
  <c r="C15" i="4"/>
  <c r="D18" i="4"/>
  <c r="D17" i="4"/>
  <c r="D15" i="4"/>
  <c r="C18" i="4"/>
  <c r="D10" i="4"/>
  <c r="C10" i="4"/>
  <c r="E9" i="4" l="1"/>
  <c r="D9" i="4"/>
  <c r="C9" i="4"/>
  <c r="E8" i="4"/>
  <c r="E10" i="4" s="1"/>
  <c r="D8" i="4"/>
  <c r="C8" i="4"/>
  <c r="E15" i="4" l="1"/>
  <c r="E16" i="4"/>
  <c r="E17" i="4"/>
  <c r="E18" i="4"/>
  <c r="C19" i="4"/>
  <c r="C24" i="4" s="1"/>
  <c r="D19" i="4"/>
  <c r="C25" i="4" l="1"/>
  <c r="C26" i="4"/>
  <c r="C27" i="4"/>
  <c r="E19" i="4"/>
  <c r="E24" i="4" s="1"/>
  <c r="D26" i="4"/>
  <c r="D27" i="4"/>
  <c r="D24" i="4"/>
  <c r="D25" i="4"/>
  <c r="C35" i="4" l="1"/>
  <c r="C39" i="4" s="1"/>
  <c r="C34" i="4"/>
  <c r="C38" i="4" s="1"/>
  <c r="C33" i="4"/>
  <c r="C37" i="4" s="1"/>
  <c r="C32" i="4"/>
  <c r="C36" i="4" s="1"/>
  <c r="D35" i="4"/>
  <c r="D39" i="4" s="1"/>
  <c r="D33" i="4"/>
  <c r="D37" i="4" s="1"/>
  <c r="D32" i="4"/>
  <c r="D36" i="4" s="1"/>
  <c r="D34" i="4"/>
  <c r="D38" i="4" s="1"/>
  <c r="E25" i="4"/>
  <c r="E26" i="4"/>
  <c r="E27" i="4"/>
  <c r="D43" i="4" l="1"/>
  <c r="D44" i="4" s="1"/>
  <c r="C43" i="4"/>
  <c r="C44" i="4" s="1"/>
  <c r="E35" i="4"/>
  <c r="E39" i="4" s="1"/>
  <c r="E34" i="4"/>
  <c r="E38" i="4" s="1"/>
  <c r="E32" i="4"/>
  <c r="E36" i="4" s="1"/>
  <c r="E33" i="4"/>
  <c r="E37" i="4" s="1"/>
  <c r="E43" i="4" l="1"/>
  <c r="E44" i="4"/>
  <c r="E45" i="4" s="1"/>
  <c r="C45" i="4" l="1"/>
  <c r="D45" i="4"/>
</calcChain>
</file>

<file path=xl/sharedStrings.xml><?xml version="1.0" encoding="utf-8"?>
<sst xmlns="http://schemas.openxmlformats.org/spreadsheetml/2006/main" count="67" uniqueCount="33">
  <si>
    <t>极小型指标</t>
    <phoneticPr fontId="1" type="noConversion"/>
  </si>
  <si>
    <t>中间型指标</t>
    <phoneticPr fontId="1" type="noConversion"/>
  </si>
  <si>
    <t>矩阵正向化</t>
    <phoneticPr fontId="1" type="noConversion"/>
  </si>
  <si>
    <t>max</t>
    <phoneticPr fontId="1" type="noConversion"/>
  </si>
  <si>
    <t>min</t>
    <phoneticPr fontId="1" type="noConversion"/>
  </si>
  <si>
    <t>M</t>
    <phoneticPr fontId="1" type="noConversion"/>
  </si>
  <si>
    <t>矩阵标准化</t>
    <phoneticPr fontId="1" type="noConversion"/>
  </si>
  <si>
    <t>Z</t>
    <phoneticPr fontId="1" type="noConversion"/>
  </si>
  <si>
    <t xml:space="preserve">           指标
方案</t>
    <phoneticPr fontId="1" type="noConversion"/>
  </si>
  <si>
    <t>第四步</t>
    <phoneticPr fontId="1" type="noConversion"/>
  </si>
  <si>
    <t>矩阵归一化（概率矩阵）</t>
    <phoneticPr fontId="1" type="noConversion"/>
  </si>
  <si>
    <t>信息熵</t>
    <phoneticPr fontId="1" type="noConversion"/>
  </si>
  <si>
    <t>第1步</t>
    <phoneticPr fontId="1" type="noConversion"/>
  </si>
  <si>
    <t>第2步</t>
    <phoneticPr fontId="1" type="noConversion"/>
  </si>
  <si>
    <t>第3步</t>
    <phoneticPr fontId="1" type="noConversion"/>
  </si>
  <si>
    <t>评价对象：</t>
    <phoneticPr fontId="1" type="noConversion"/>
  </si>
  <si>
    <t>信息效用值</t>
    <phoneticPr fontId="1" type="noConversion"/>
  </si>
  <si>
    <t>计算权重</t>
    <phoneticPr fontId="1" type="noConversion"/>
  </si>
  <si>
    <t>熵权</t>
    <phoneticPr fontId="1" type="noConversion"/>
  </si>
  <si>
    <t>指标</t>
    <phoneticPr fontId="1" type="noConversion"/>
  </si>
  <si>
    <t>择校评价（决策）</t>
    <phoneticPr fontId="1" type="noConversion"/>
  </si>
  <si>
    <t>师资
（分）</t>
    <phoneticPr fontId="1" type="noConversion"/>
  </si>
  <si>
    <t>学费
（万元）</t>
    <phoneticPr fontId="1" type="noConversion"/>
  </si>
  <si>
    <t>班级人数
（人）</t>
    <phoneticPr fontId="1" type="noConversion"/>
  </si>
  <si>
    <t>学校A</t>
    <phoneticPr fontId="1" type="noConversion"/>
  </si>
  <si>
    <t>学校B</t>
    <phoneticPr fontId="1" type="noConversion"/>
  </si>
  <si>
    <t>学校C</t>
    <phoneticPr fontId="1" type="noConversion"/>
  </si>
  <si>
    <t>学校D</t>
    <phoneticPr fontId="1" type="noConversion"/>
  </si>
  <si>
    <t>极大型指标</t>
    <phoneticPr fontId="1" type="noConversion"/>
  </si>
  <si>
    <t>师资</t>
    <phoneticPr fontId="1" type="noConversion"/>
  </si>
  <si>
    <t>学费</t>
    <phoneticPr fontId="1" type="noConversion"/>
  </si>
  <si>
    <t>班级人数（理想值40人）</t>
    <phoneticPr fontId="1" type="noConversion"/>
  </si>
  <si>
    <t>-plnp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</si>
</sst>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_ "/>
    <numFmt numFmtId="178" formatCode="0.00000000000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Cambria Math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177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0" xfId="0" applyFont="1"/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4689</xdr:colOff>
      <xdr:row>22</xdr:row>
      <xdr:rowOff>315936</xdr:rowOff>
    </xdr:from>
    <xdr:to>
      <xdr:col>7</xdr:col>
      <xdr:colOff>579121</xdr:colOff>
      <xdr:row>25</xdr:row>
      <xdr:rowOff>103148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FD232CA8-D35F-5451-CE02-9D5B7C34F961}"/>
                </a:ext>
              </a:extLst>
            </xdr:cNvPr>
            <xdr:cNvSpPr txBox="1"/>
          </xdr:nvSpPr>
          <xdr:spPr>
            <a:xfrm>
              <a:off x="4508109" y="6297636"/>
              <a:ext cx="1382152" cy="6406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b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</m:sSub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  <m:sub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𝑖𝑗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nary>
                              <m:naryPr>
                                <m:chr m:val="∑"/>
                                <m:ctrlP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=1</m:t>
                                </m:r>
                              </m:sub>
                              <m:sup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sup>
                              <m:e>
                                <m:sSubSup>
                                  <m:sSubSupPr>
                                    <m:ctrlP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b>
                                    <m: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  <m:t>𝑖𝑗</m:t>
                                    </m:r>
                                  </m:sub>
                                  <m:sup>
                                    <m:r>
                                      <a:rPr lang="en-US" altLang="zh-CN" sz="14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nary>
                          </m:e>
                        </m:rad>
                      </m:den>
                    </m:f>
                  </m:oMath>
                </m:oMathPara>
              </a14:m>
              <a:endParaRPr lang="zh-CN" altLang="en-US" sz="1400"/>
            </a:p>
          </xdr:txBody>
        </xdr:sp>
      </mc:Choice>
      <mc:Fallback xmlns="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FD232CA8-D35F-5451-CE02-9D5B7C34F961}"/>
                </a:ext>
              </a:extLst>
            </xdr:cNvPr>
            <xdr:cNvSpPr txBox="1"/>
          </xdr:nvSpPr>
          <xdr:spPr>
            <a:xfrm>
              <a:off x="4508109" y="6297636"/>
              <a:ext cx="1382152" cy="640652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zh-CN" sz="1400" b="0" i="0">
                  <a:latin typeface="Cambria Math" panose="02040503050406030204" pitchFamily="18" charset="0"/>
                </a:rPr>
                <a:t>𝑧_𝑖𝑗=𝑥_𝑖𝑗/√(∑_(𝑖=1)^𝑛▒𝑥_𝑖𝑗^2 )</a:t>
              </a:r>
              <a:endParaRPr lang="zh-CN" altLang="en-US" sz="1400"/>
            </a:p>
          </xdr:txBody>
        </xdr:sp>
      </mc:Fallback>
    </mc:AlternateContent>
    <xdr:clientData/>
  </xdr:twoCellAnchor>
  <xdr:twoCellAnchor>
    <xdr:from>
      <xdr:col>6</xdr:col>
      <xdr:colOff>8995</xdr:colOff>
      <xdr:row>31</xdr:row>
      <xdr:rowOff>9480</xdr:rowOff>
    </xdr:from>
    <xdr:to>
      <xdr:col>7</xdr:col>
      <xdr:colOff>583427</xdr:colOff>
      <xdr:row>32</xdr:row>
      <xdr:rowOff>225765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3CFB5B25-05E1-4318-8E42-389606829B46}"/>
                </a:ext>
              </a:extLst>
            </xdr:cNvPr>
            <xdr:cNvSpPr txBox="1"/>
          </xdr:nvSpPr>
          <xdr:spPr>
            <a:xfrm>
              <a:off x="4183430" y="8265584"/>
              <a:ext cx="1382814" cy="46807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𝑖𝑗</m:t>
                        </m:r>
                      </m:sub>
                    </m:sSub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𝑧</m:t>
                            </m:r>
                          </m:e>
                          <m:sub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𝑖𝑗</m:t>
                            </m:r>
                          </m:sub>
                        </m:sSub>
                      </m:num>
                      <m:den>
                        <m:nary>
                          <m:naryPr>
                            <m:chr m:val="∑"/>
                            <m:ctrlPr>
                              <a:rPr lang="en-US" altLang="zh-CN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naryPr>
                          <m:sub>
                            <m:r>
                              <a:rPr lang="en-US" altLang="zh-CN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n-US" altLang="zh-CN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zh-CN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sup>
                          <m:e>
                            <m:sSub>
                              <m:sSubPr>
                                <m:ctrlPr>
                                  <a:rPr lang="en-US" altLang="zh-CN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𝑧</m:t>
                                </m:r>
                              </m:e>
                              <m:sub>
                                <m:r>
                                  <a:rPr lang="en-US" altLang="zh-CN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𝑖𝑗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zh-CN" altLang="en-US" sz="1400"/>
            </a:p>
          </xdr:txBody>
        </xdr:sp>
      </mc:Choice>
      <mc:Fallback xmlns="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3CFB5B25-05E1-4318-8E42-389606829B46}"/>
                </a:ext>
              </a:extLst>
            </xdr:cNvPr>
            <xdr:cNvSpPr txBox="1"/>
          </xdr:nvSpPr>
          <xdr:spPr>
            <a:xfrm>
              <a:off x="4183430" y="8265584"/>
              <a:ext cx="1382814" cy="46807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zh-CN" sz="1400" b="0" i="0">
                  <a:latin typeface="Cambria Math" panose="02040503050406030204" pitchFamily="18" charset="0"/>
                </a:rPr>
                <a:t>𝑝_𝑖𝑗=𝑧_𝑖𝑗/(</a:t>
              </a:r>
              <a:r>
                <a:rPr lang="en-US" altLang="zh-CN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∑_(𝑖=1)^𝑛▒</a:t>
              </a:r>
              <a:r>
                <a:rPr lang="en-US" altLang="zh-CN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𝑧</a:t>
              </a:r>
              <a:r>
                <a:rPr lang="en-US" altLang="zh-CN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_𝑖𝑗 </a:t>
              </a:r>
              <a:r>
                <a:rPr lang="en-US" altLang="zh-CN" sz="1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zh-CN" altLang="en-US" sz="1400"/>
            </a:p>
          </xdr:txBody>
        </xdr:sp>
      </mc:Fallback>
    </mc:AlternateContent>
    <xdr:clientData/>
  </xdr:twoCellAnchor>
  <xdr:twoCellAnchor>
    <xdr:from>
      <xdr:col>5</xdr:col>
      <xdr:colOff>616225</xdr:colOff>
      <xdr:row>41</xdr:row>
      <xdr:rowOff>79515</xdr:rowOff>
    </xdr:from>
    <xdr:to>
      <xdr:col>7</xdr:col>
      <xdr:colOff>1914940</xdr:colOff>
      <xdr:row>44</xdr:row>
      <xdr:rowOff>245167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方案D" descr="e7d195523061f1c09e9d68d7cf438b91ef959ecb14fc25d26BBA7F7DBC18E55DFF4014AF651F0BF2569D4B6C1DA7F1A4683A481403BD872FC687266AD13265C1DE7C373772FD8728ABDD69ADD03BFF5BE2862BC891DBB79E48D68EAF9BC0B135F08CB3AA261467E47643FBA29D38A9757F7FFD5B7023D39A21F358D3BB12D2D6D548E32EE07CB42717034D7FAE5F42C8">
              <a:extLst>
                <a:ext uri="{FF2B5EF4-FFF2-40B4-BE49-F238E27FC236}">
                  <a16:creationId xmlns:a16="http://schemas.microsoft.com/office/drawing/2014/main" id="{42718347-E927-0AFC-F853-B189C47A957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74434" y="10853532"/>
              <a:ext cx="2723323" cy="108667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algn="just" fontAlgn="base">
                <a:spcBef>
                  <a:spcPct val="0"/>
                </a:spcBef>
                <a:spcAft>
                  <a:spcPct val="0"/>
                </a:spcAft>
              </a:pPr>
              <a:r>
                <a:rPr lang="zh-CN" altLang="en-US" sz="1400">
                  <a:latin typeface="优设好身体" panose="00020600040101010101" pitchFamily="18" charset="-122"/>
                  <a:ea typeface="优设好身体" panose="00020600040101010101" pitchFamily="18" charset="-122"/>
                  <a:sym typeface="Calibri" panose="020F0302020204030204" pitchFamily="34" charset="0"/>
                </a:rPr>
                <a:t>信息熵：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</m:ctrlPr>
                    </m:sSubPr>
                    <m:e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𝑒</m:t>
                      </m:r>
                    </m:e>
                    <m:sub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𝑗</m:t>
                      </m:r>
                    </m:sub>
                  </m:sSub>
                  <m:r>
                    <a:rPr lang="en-US" altLang="zh-CN" sz="1400" b="0" i="1">
                      <a:latin typeface="Cambria Math" panose="02040503050406030204" pitchFamily="18" charset="0"/>
                      <a:ea typeface="优设好身体" panose="00020600040101010101" pitchFamily="18" charset="-122"/>
                      <a:sym typeface="Calibri" panose="020F0302020204030204" pitchFamily="34" charset="0"/>
                    </a:rPr>
                    <m:t>=−</m:t>
                  </m:r>
                  <m:f>
                    <m:fPr>
                      <m:ctrlP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</m:ctrlPr>
                    </m:fPr>
                    <m:num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1</m:t>
                      </m:r>
                    </m:num>
                    <m:den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𝑙𝑛𝑛</m:t>
                      </m:r>
                    </m:den>
                  </m:f>
                  <m:nary>
                    <m:naryPr>
                      <m:chr m:val="∑"/>
                      <m:ctrlP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</m:ctrlPr>
                    </m:naryPr>
                    <m:sub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𝑖</m:t>
                      </m:r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=1</m:t>
                      </m:r>
                    </m:sub>
                    <m:sup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𝑛</m:t>
                      </m:r>
                    </m:sup>
                    <m:e>
                      <m:sSub>
                        <m:sSubPr>
                          <m:ctrlP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</m:ctrlPr>
                        </m:sSubPr>
                        <m:e>
                          <m: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  <m:t>𝑝</m:t>
                          </m:r>
                        </m:e>
                        <m:sub>
                          <m: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  <m:t>𝑖𝑗</m:t>
                          </m:r>
                        </m:sub>
                      </m:sSub>
                      <m:r>
                        <m:rPr>
                          <m:sty m:val="p"/>
                        </m:rPr>
                        <a:rPr lang="en-US" altLang="zh-CN" sz="1400" b="0" i="0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ln</m:t>
                      </m:r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⁡(</m:t>
                      </m:r>
                      <m:sSub>
                        <m:sSubPr>
                          <m:ctrlP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</m:ctrlPr>
                        </m:sSubPr>
                        <m:e>
                          <m: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  <m:t>𝑝</m:t>
                          </m:r>
                        </m:e>
                        <m:sub>
                          <m: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  <m:t>𝑖𝑗</m:t>
                          </m:r>
                        </m:sub>
                      </m:sSub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)</m:t>
                      </m:r>
                    </m:e>
                  </m:nary>
                </m:oMath>
              </a14:m>
              <a:endParaRPr lang="en-US" altLang="zh-CN" sz="1400">
                <a:latin typeface="优设好身体" panose="00020600040101010101" pitchFamily="18" charset="-122"/>
                <a:ea typeface="优设好身体" panose="00020600040101010101" pitchFamily="18" charset="-122"/>
                <a:sym typeface="Calibri" panose="020F0302020204030204" pitchFamily="34" charset="0"/>
              </a:endParaRPr>
            </a:p>
            <a:p>
              <a:pPr algn="just" fontAlgn="base">
                <a:spcBef>
                  <a:spcPct val="0"/>
                </a:spcBef>
                <a:spcAft>
                  <a:spcPct val="0"/>
                </a:spcAft>
              </a:pPr>
              <a:r>
                <a:rPr lang="zh-CN" altLang="en-US" sz="1400">
                  <a:latin typeface="优设好身体" panose="00020600040101010101" pitchFamily="18" charset="-122"/>
                  <a:ea typeface="优设好身体" panose="00020600040101010101" pitchFamily="18" charset="-122"/>
                  <a:sym typeface="Calibri" panose="020F0302020204030204" pitchFamily="34" charset="0"/>
                </a:rPr>
                <a:t>信息效用值：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</m:ctrlPr>
                    </m:sSubPr>
                    <m:e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𝑑</m:t>
                      </m:r>
                    </m:e>
                    <m:sub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𝑗</m:t>
                      </m:r>
                    </m:sub>
                  </m:sSub>
                  <m:r>
                    <a:rPr lang="en-US" altLang="zh-CN" sz="1400" b="0" i="1">
                      <a:latin typeface="Cambria Math" panose="02040503050406030204" pitchFamily="18" charset="0"/>
                      <a:ea typeface="优设好身体" panose="00020600040101010101" pitchFamily="18" charset="-122"/>
                      <a:sym typeface="Calibri" panose="020F0302020204030204" pitchFamily="34" charset="0"/>
                    </a:rPr>
                    <m:t>=1−</m:t>
                  </m:r>
                  <m:sSub>
                    <m:sSubPr>
                      <m:ctrlP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</m:ctrlPr>
                    </m:sSubPr>
                    <m:e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𝑒</m:t>
                      </m:r>
                    </m:e>
                    <m:sub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𝑗</m:t>
                      </m:r>
                    </m:sub>
                  </m:sSub>
                </m:oMath>
              </a14:m>
              <a:endParaRPr lang="en-US" altLang="zh-CN" sz="1400" b="0">
                <a:latin typeface="优设好身体" panose="00020600040101010101" pitchFamily="18" charset="-122"/>
                <a:ea typeface="优设好身体" panose="00020600040101010101" pitchFamily="18" charset="-122"/>
                <a:sym typeface="Calibri" panose="020F0302020204030204" pitchFamily="34" charset="0"/>
              </a:endParaRPr>
            </a:p>
            <a:p>
              <a:pPr algn="just" fontAlgn="base">
                <a:spcBef>
                  <a:spcPct val="0"/>
                </a:spcBef>
                <a:spcAft>
                  <a:spcPct val="0"/>
                </a:spcAft>
              </a:pPr>
              <a:r>
                <a:rPr lang="zh-CN" altLang="en-US" sz="1400">
                  <a:latin typeface="优设好身体" panose="00020600040101010101" pitchFamily="18" charset="-122"/>
                  <a:ea typeface="优设好身体" panose="00020600040101010101" pitchFamily="18" charset="-122"/>
                  <a:sym typeface="Calibri" panose="020F0302020204030204" pitchFamily="34" charset="0"/>
                </a:rPr>
                <a:t>熵权：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</m:ctrlPr>
                    </m:sSubPr>
                    <m:e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𝑊</m:t>
                      </m:r>
                    </m:e>
                    <m:sub>
                      <m: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  <m:t>𝑗</m:t>
                      </m:r>
                    </m:sub>
                  </m:sSub>
                  <m:r>
                    <a:rPr lang="en-US" altLang="zh-CN" sz="1400" b="0" i="1">
                      <a:latin typeface="Cambria Math" panose="02040503050406030204" pitchFamily="18" charset="0"/>
                      <a:ea typeface="优设好身体" panose="00020600040101010101" pitchFamily="18" charset="-122"/>
                      <a:sym typeface="Calibri" panose="020F0302020204030204" pitchFamily="34" charset="0"/>
                    </a:rPr>
                    <m:t>=</m:t>
                  </m:r>
                  <m:f>
                    <m:fPr>
                      <m:ctrlPr>
                        <a:rPr lang="en-US" altLang="zh-CN" sz="1400" b="0" i="1">
                          <a:latin typeface="Cambria Math" panose="02040503050406030204" pitchFamily="18" charset="0"/>
                          <a:ea typeface="优设好身体" panose="00020600040101010101" pitchFamily="18" charset="-122"/>
                          <a:sym typeface="Calibri" panose="020F0302020204030204" pitchFamily="34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</m:ctrlPr>
                        </m:sSubPr>
                        <m:e>
                          <m: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  <m:t>𝑑</m:t>
                          </m:r>
                        </m:e>
                        <m:sub>
                          <m: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  <m:t>𝑗</m:t>
                          </m:r>
                        </m:sub>
                      </m:sSub>
                    </m:num>
                    <m:den>
                      <m:nary>
                        <m:naryPr>
                          <m:chr m:val="∑"/>
                          <m:ctrlP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</m:ctrlPr>
                        </m:naryPr>
                        <m:sub>
                          <m: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  <m:t>𝑗</m:t>
                          </m:r>
                          <m: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  <m:t>=1</m:t>
                          </m:r>
                        </m:sub>
                        <m:sup>
                          <m:r>
                            <a:rPr lang="en-US" altLang="zh-CN" sz="1400" b="0" i="1">
                              <a:latin typeface="Cambria Math" panose="02040503050406030204" pitchFamily="18" charset="0"/>
                              <a:ea typeface="优设好身体" panose="00020600040101010101" pitchFamily="18" charset="-122"/>
                              <a:sym typeface="Calibri" panose="020F0302020204030204" pitchFamily="34" charset="0"/>
                            </a:rPr>
                            <m:t>𝑚</m:t>
                          </m:r>
                        </m:sup>
                        <m:e>
                          <m:sSub>
                            <m:sSubPr>
                              <m:ctrlPr>
                                <a:rPr lang="en-US" altLang="zh-CN" sz="1400" b="0" i="1">
                                  <a:latin typeface="Cambria Math" panose="02040503050406030204" pitchFamily="18" charset="0"/>
                                  <a:ea typeface="优设好身体" panose="00020600040101010101" pitchFamily="18" charset="-122"/>
                                  <a:sym typeface="Calibri" panose="020F0302020204030204" pitchFamily="34" charset="0"/>
                                </a:rPr>
                              </m:ctrlPr>
                            </m:sSubPr>
                            <m:e>
                              <m:r>
                                <a:rPr lang="en-US" altLang="zh-CN" sz="1400" b="0" i="1">
                                  <a:latin typeface="Cambria Math" panose="02040503050406030204" pitchFamily="18" charset="0"/>
                                  <a:ea typeface="优设好身体" panose="00020600040101010101" pitchFamily="18" charset="-122"/>
                                  <a:sym typeface="Calibri" panose="020F0302020204030204" pitchFamily="34" charset="0"/>
                                </a:rPr>
                                <m:t>𝑑</m:t>
                              </m:r>
                            </m:e>
                            <m:sub>
                              <m:r>
                                <a:rPr lang="en-US" altLang="zh-CN" sz="1400" b="0" i="1">
                                  <a:latin typeface="Cambria Math" panose="02040503050406030204" pitchFamily="18" charset="0"/>
                                  <a:ea typeface="优设好身体" panose="00020600040101010101" pitchFamily="18" charset="-122"/>
                                  <a:sym typeface="Calibri" panose="020F0302020204030204" pitchFamily="34" charset="0"/>
                                </a:rPr>
                                <m:t>𝑗</m:t>
                              </m:r>
                            </m:sub>
                          </m:sSub>
                        </m:e>
                      </m:nary>
                    </m:den>
                  </m:f>
                </m:oMath>
              </a14:m>
              <a:endParaRPr lang="zh-CN" altLang="en-US" sz="1400">
                <a:latin typeface="优设好身体" panose="00020600040101010101" pitchFamily="18" charset="-122"/>
                <a:ea typeface="优设好身体" panose="00020600040101010101" pitchFamily="18" charset="-122"/>
                <a:sym typeface="Calibri" panose="020F0302020204030204" pitchFamily="34" charset="0"/>
              </a:endParaRPr>
            </a:p>
          </xdr:txBody>
        </xdr:sp>
      </mc:Choice>
      <mc:Fallback xmlns="">
        <xdr:sp macro="" textlink="">
          <xdr:nvSpPr>
            <xdr:cNvPr id="9" name="方案D" descr="e7d195523061f1c09e9d68d7cf438b91ef959ecb14fc25d26BBA7F7DBC18E55DFF4014AF651F0BF2569D4B6C1DA7F1A4683A481403BD872FC687266AD13265C1DE7C373772FD8728ABDD69ADD03BFF5BE2862BC891DBB79E48D68EAF9BC0B135F08CB3AA261467E47643FBA29D38A9757F7FFD5B7023D39A21F358D3BB12D2D6D548E32EE07CB42717034D7FAE5F42C8">
              <a:extLst>
                <a:ext uri="{FF2B5EF4-FFF2-40B4-BE49-F238E27FC236}">
                  <a16:creationId xmlns:a16="http://schemas.microsoft.com/office/drawing/2014/main" id="{42718347-E927-0AFC-F853-B189C47A957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74434" y="10853532"/>
              <a:ext cx="2723323" cy="1086678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algn="just" fontAlgn="base">
                <a:spcBef>
                  <a:spcPct val="0"/>
                </a:spcBef>
                <a:spcAft>
                  <a:spcPct val="0"/>
                </a:spcAft>
              </a:pPr>
              <a:r>
                <a:rPr lang="zh-CN" altLang="en-US" sz="1400">
                  <a:latin typeface="优设好身体" panose="00020600040101010101" pitchFamily="18" charset="-122"/>
                  <a:ea typeface="优设好身体" panose="00020600040101010101" pitchFamily="18" charset="-122"/>
                  <a:sym typeface="Calibri" panose="020F0302020204030204" pitchFamily="34" charset="0"/>
                </a:rPr>
                <a:t>信息熵：</a:t>
              </a:r>
              <a:r>
                <a:rPr lang="en-US" altLang="zh-CN" sz="1400" b="0" i="0">
                  <a:latin typeface="Cambria Math" panose="02040503050406030204" pitchFamily="18" charset="0"/>
                  <a:ea typeface="优设好身体" panose="00020600040101010101" pitchFamily="18" charset="-122"/>
                  <a:sym typeface="Calibri" panose="020F0302020204030204" pitchFamily="34" charset="0"/>
                </a:rPr>
                <a:t>𝑒_𝑗=−1/𝑙𝑛𝑛 ∑_(𝑖=1)^𝑛▒〖𝑝_𝑖𝑗 ln⁡(𝑝_𝑖𝑗)〗</a:t>
              </a:r>
              <a:endParaRPr lang="en-US" altLang="zh-CN" sz="1400">
                <a:latin typeface="优设好身体" panose="00020600040101010101" pitchFamily="18" charset="-122"/>
                <a:ea typeface="优设好身体" panose="00020600040101010101" pitchFamily="18" charset="-122"/>
                <a:sym typeface="Calibri" panose="020F0302020204030204" pitchFamily="34" charset="0"/>
              </a:endParaRPr>
            </a:p>
            <a:p>
              <a:pPr algn="just" fontAlgn="base">
                <a:spcBef>
                  <a:spcPct val="0"/>
                </a:spcBef>
                <a:spcAft>
                  <a:spcPct val="0"/>
                </a:spcAft>
              </a:pPr>
              <a:r>
                <a:rPr lang="zh-CN" altLang="en-US" sz="1400">
                  <a:latin typeface="优设好身体" panose="00020600040101010101" pitchFamily="18" charset="-122"/>
                  <a:ea typeface="优设好身体" panose="00020600040101010101" pitchFamily="18" charset="-122"/>
                  <a:sym typeface="Calibri" panose="020F0302020204030204" pitchFamily="34" charset="0"/>
                </a:rPr>
                <a:t>信息效用值：</a:t>
              </a:r>
              <a:r>
                <a:rPr lang="en-US" altLang="zh-CN" sz="1400" b="0" i="0">
                  <a:latin typeface="Cambria Math" panose="02040503050406030204" pitchFamily="18" charset="0"/>
                  <a:ea typeface="优设好身体" panose="00020600040101010101" pitchFamily="18" charset="-122"/>
                  <a:sym typeface="Calibri" panose="020F0302020204030204" pitchFamily="34" charset="0"/>
                </a:rPr>
                <a:t>𝑑_𝑗=1−𝑒_𝑗</a:t>
              </a:r>
              <a:endParaRPr lang="en-US" altLang="zh-CN" sz="1400" b="0">
                <a:latin typeface="优设好身体" panose="00020600040101010101" pitchFamily="18" charset="-122"/>
                <a:ea typeface="优设好身体" panose="00020600040101010101" pitchFamily="18" charset="-122"/>
                <a:sym typeface="Calibri" panose="020F0302020204030204" pitchFamily="34" charset="0"/>
              </a:endParaRPr>
            </a:p>
            <a:p>
              <a:pPr algn="just" fontAlgn="base">
                <a:spcBef>
                  <a:spcPct val="0"/>
                </a:spcBef>
                <a:spcAft>
                  <a:spcPct val="0"/>
                </a:spcAft>
              </a:pPr>
              <a:r>
                <a:rPr lang="zh-CN" altLang="en-US" sz="1400">
                  <a:latin typeface="优设好身体" panose="00020600040101010101" pitchFamily="18" charset="-122"/>
                  <a:ea typeface="优设好身体" panose="00020600040101010101" pitchFamily="18" charset="-122"/>
                  <a:sym typeface="Calibri" panose="020F0302020204030204" pitchFamily="34" charset="0"/>
                </a:rPr>
                <a:t>熵权：</a:t>
              </a:r>
              <a:r>
                <a:rPr lang="en-US" altLang="zh-CN" sz="1400" b="0" i="0">
                  <a:latin typeface="Cambria Math" panose="02040503050406030204" pitchFamily="18" charset="0"/>
                  <a:ea typeface="优设好身体" panose="00020600040101010101" pitchFamily="18" charset="-122"/>
                  <a:sym typeface="Calibri" panose="020F0302020204030204" pitchFamily="34" charset="0"/>
                </a:rPr>
                <a:t>𝑊_𝑗=𝑑_𝑗/(∑_(𝑗=1)^𝑚▒𝑑_𝑗 )</a:t>
              </a:r>
              <a:endParaRPr lang="zh-CN" altLang="en-US" sz="1400">
                <a:latin typeface="优设好身体" panose="00020600040101010101" pitchFamily="18" charset="-122"/>
                <a:ea typeface="优设好身体" panose="00020600040101010101" pitchFamily="18" charset="-122"/>
                <a:sym typeface="Calibri" panose="020F0302020204030204" pitchFamily="34" charset="0"/>
              </a:endParaRPr>
            </a:p>
          </xdr:txBody>
        </xdr:sp>
      </mc:Fallback>
    </mc:AlternateContent>
    <xdr:clientData/>
  </xdr:twoCellAnchor>
  <xdr:twoCellAnchor editAs="oneCell">
    <xdr:from>
      <xdr:col>6</xdr:col>
      <xdr:colOff>11648</xdr:colOff>
      <xdr:row>11</xdr:row>
      <xdr:rowOff>19877</xdr:rowOff>
    </xdr:from>
    <xdr:to>
      <xdr:col>10</xdr:col>
      <xdr:colOff>516836</xdr:colOff>
      <xdr:row>19</xdr:row>
      <xdr:rowOff>103369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4092C31-2723-8CAF-0950-B204CF515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0674" y="2888973"/>
          <a:ext cx="5355484" cy="2197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F595-1FAB-4099-AD47-E460AD68F303}">
  <dimension ref="A2:J45"/>
  <sheetViews>
    <sheetView tabSelected="1" topLeftCell="A23" zoomScale="115" zoomScaleNormal="115" workbookViewId="0">
      <selection activeCell="E47" sqref="E47"/>
    </sheetView>
  </sheetViews>
  <sheetFormatPr defaultColWidth="9" defaultRowHeight="19.8" customHeight="1" x14ac:dyDescent="0.25"/>
  <cols>
    <col min="1" max="1" width="9" style="1"/>
    <col min="2" max="2" width="11.6640625" style="1" customWidth="1"/>
    <col min="3" max="4" width="9" style="1"/>
    <col min="5" max="5" width="10.21875" style="1" customWidth="1"/>
    <col min="6" max="6" width="9" style="1"/>
    <col min="7" max="7" width="11.77734375" style="1" bestFit="1" customWidth="1"/>
    <col min="8" max="8" width="41.21875" style="1" customWidth="1"/>
    <col min="9" max="9" width="8.6640625" style="1" customWidth="1"/>
    <col min="10" max="16384" width="9" style="1"/>
  </cols>
  <sheetData>
    <row r="2" spans="2:8" ht="19.8" customHeight="1" x14ac:dyDescent="0.25">
      <c r="B2" s="18" t="s">
        <v>20</v>
      </c>
      <c r="C2" s="18"/>
      <c r="D2" s="18"/>
      <c r="E2" s="18"/>
      <c r="G2" s="1" t="s">
        <v>15</v>
      </c>
      <c r="H2" s="10">
        <v>4</v>
      </c>
    </row>
    <row r="3" spans="2:8" ht="27.6" x14ac:dyDescent="0.25">
      <c r="B3" s="5" t="s">
        <v>8</v>
      </c>
      <c r="C3" s="4" t="s">
        <v>21</v>
      </c>
      <c r="D3" s="4" t="s">
        <v>22</v>
      </c>
      <c r="E3" s="4" t="s">
        <v>23</v>
      </c>
    </row>
    <row r="4" spans="2:8" ht="19.8" customHeight="1" x14ac:dyDescent="0.25">
      <c r="B4" s="3" t="s">
        <v>24</v>
      </c>
      <c r="C4" s="2">
        <v>90</v>
      </c>
      <c r="D4" s="6">
        <v>4</v>
      </c>
      <c r="E4" s="2">
        <v>35</v>
      </c>
      <c r="G4" s="2" t="s">
        <v>28</v>
      </c>
      <c r="H4" s="2" t="s">
        <v>29</v>
      </c>
    </row>
    <row r="5" spans="2:8" ht="19.8" customHeight="1" x14ac:dyDescent="0.25">
      <c r="B5" s="3" t="s">
        <v>25</v>
      </c>
      <c r="C5" s="2">
        <v>85</v>
      </c>
      <c r="D5" s="6">
        <v>3</v>
      </c>
      <c r="E5" s="2">
        <v>50</v>
      </c>
      <c r="G5" s="2" t="s">
        <v>0</v>
      </c>
      <c r="H5" s="2" t="s">
        <v>30</v>
      </c>
    </row>
    <row r="6" spans="2:8" ht="19.8" customHeight="1" x14ac:dyDescent="0.25">
      <c r="B6" s="3" t="s">
        <v>26</v>
      </c>
      <c r="C6" s="2">
        <v>92</v>
      </c>
      <c r="D6" s="6">
        <v>4.5</v>
      </c>
      <c r="E6" s="2">
        <v>40</v>
      </c>
      <c r="G6" s="2" t="s">
        <v>1</v>
      </c>
      <c r="H6" s="2" t="s">
        <v>31</v>
      </c>
    </row>
    <row r="7" spans="2:8" ht="19.8" customHeight="1" x14ac:dyDescent="0.25">
      <c r="B7" s="3" t="s">
        <v>27</v>
      </c>
      <c r="C7" s="2">
        <v>88</v>
      </c>
      <c r="D7" s="6">
        <v>3.5</v>
      </c>
      <c r="E7" s="2">
        <v>25</v>
      </c>
    </row>
    <row r="8" spans="2:8" ht="19.8" customHeight="1" x14ac:dyDescent="0.25">
      <c r="B8" s="8" t="s">
        <v>3</v>
      </c>
      <c r="C8" s="2">
        <f>MAX(C4:C7)</f>
        <v>92</v>
      </c>
      <c r="D8" s="2">
        <f>MAX(D4:D7)</f>
        <v>4.5</v>
      </c>
      <c r="E8" s="2">
        <f>MAX(E4:E7)</f>
        <v>50</v>
      </c>
    </row>
    <row r="9" spans="2:8" ht="19.8" customHeight="1" x14ac:dyDescent="0.25">
      <c r="B9" s="8" t="s">
        <v>4</v>
      </c>
      <c r="C9" s="2">
        <f>MIN(C4:C7)</f>
        <v>85</v>
      </c>
      <c r="D9" s="2">
        <f>MIN(D4:D7)</f>
        <v>3</v>
      </c>
      <c r="E9" s="2">
        <f>MIN(E4:E7)</f>
        <v>25</v>
      </c>
    </row>
    <row r="10" spans="2:8" ht="19.8" customHeight="1" x14ac:dyDescent="0.25">
      <c r="B10" s="8" t="s">
        <v>5</v>
      </c>
      <c r="C10" s="2">
        <f>C8-C9</f>
        <v>7</v>
      </c>
      <c r="D10" s="2">
        <f>D8-D9</f>
        <v>1.5</v>
      </c>
      <c r="E10" s="2">
        <f>MAX(ABS(E8-40),ABS(E9-40))</f>
        <v>15</v>
      </c>
    </row>
    <row r="12" spans="2:8" ht="19.8" customHeight="1" x14ac:dyDescent="0.25">
      <c r="B12" s="7" t="s">
        <v>12</v>
      </c>
      <c r="C12" s="16" t="s">
        <v>2</v>
      </c>
      <c r="D12" s="16"/>
    </row>
    <row r="13" spans="2:8" ht="19.8" customHeight="1" x14ac:dyDescent="0.25">
      <c r="B13" s="18" t="s">
        <v>20</v>
      </c>
      <c r="C13" s="18"/>
      <c r="D13" s="18"/>
      <c r="E13" s="18"/>
    </row>
    <row r="14" spans="2:8" ht="27.6" customHeight="1" x14ac:dyDescent="0.25">
      <c r="B14" s="5" t="s">
        <v>8</v>
      </c>
      <c r="C14" s="4" t="s">
        <v>21</v>
      </c>
      <c r="D14" s="4" t="s">
        <v>22</v>
      </c>
      <c r="E14" s="4" t="s">
        <v>23</v>
      </c>
    </row>
    <row r="15" spans="2:8" ht="19.8" customHeight="1" x14ac:dyDescent="0.25">
      <c r="B15" s="3" t="s">
        <v>24</v>
      </c>
      <c r="C15" s="9">
        <f>(C4-$C$9)/$C$10</f>
        <v>0.7142857142857143</v>
      </c>
      <c r="D15" s="9">
        <f>($D$8-D4)/$D$10</f>
        <v>0.33333333333333331</v>
      </c>
      <c r="E15" s="9">
        <f>1-(ABS(E4-40)/$E$10)</f>
        <v>0.66666666666666674</v>
      </c>
    </row>
    <row r="16" spans="2:8" ht="19.8" customHeight="1" x14ac:dyDescent="0.25">
      <c r="B16" s="3" t="s">
        <v>25</v>
      </c>
      <c r="C16" s="9">
        <f>(C5-$C$9)/$C$10</f>
        <v>0</v>
      </c>
      <c r="D16" s="9">
        <f>($D$8-D5)/$D$10</f>
        <v>1</v>
      </c>
      <c r="E16" s="9">
        <f t="shared" ref="E16:E18" si="0">1-(ABS(E5-40)/$E$10)</f>
        <v>0.33333333333333337</v>
      </c>
    </row>
    <row r="17" spans="2:9" ht="19.8" customHeight="1" x14ac:dyDescent="0.25">
      <c r="B17" s="3" t="s">
        <v>26</v>
      </c>
      <c r="C17" s="9">
        <f t="shared" ref="C17:C18" si="1">(C6-$C$9)/$C$10</f>
        <v>1</v>
      </c>
      <c r="D17" s="9">
        <f t="shared" ref="D17:D18" si="2">($D$8-D6)/$D$10</f>
        <v>0</v>
      </c>
      <c r="E17" s="9">
        <f t="shared" si="0"/>
        <v>1</v>
      </c>
    </row>
    <row r="18" spans="2:9" ht="19.8" customHeight="1" x14ac:dyDescent="0.25">
      <c r="B18" s="3" t="s">
        <v>27</v>
      </c>
      <c r="C18" s="9">
        <f t="shared" si="1"/>
        <v>0.42857142857142855</v>
      </c>
      <c r="D18" s="9">
        <f t="shared" si="2"/>
        <v>0.66666666666666663</v>
      </c>
      <c r="E18" s="9">
        <f t="shared" si="0"/>
        <v>0</v>
      </c>
    </row>
    <row r="19" spans="2:9" ht="19.8" customHeight="1" x14ac:dyDescent="0.25">
      <c r="B19" s="8" t="s">
        <v>7</v>
      </c>
      <c r="C19" s="2">
        <f>SQRT(SUMSQ(C15:C18))</f>
        <v>1.3014905113063284</v>
      </c>
      <c r="D19" s="2">
        <f>SQRT(SUMSQ(D15:D18))</f>
        <v>1.247219128924647</v>
      </c>
      <c r="E19" s="2">
        <f>SQRT(SUMSQ(E15:E18))</f>
        <v>1.2472191289246473</v>
      </c>
    </row>
    <row r="21" spans="2:9" ht="19.8" customHeight="1" x14ac:dyDescent="0.25">
      <c r="B21" s="7" t="s">
        <v>13</v>
      </c>
      <c r="C21" s="16" t="s">
        <v>6</v>
      </c>
      <c r="D21" s="16"/>
    </row>
    <row r="22" spans="2:9" ht="19.8" customHeight="1" x14ac:dyDescent="0.25">
      <c r="B22" s="18" t="s">
        <v>20</v>
      </c>
      <c r="C22" s="18"/>
      <c r="D22" s="18"/>
      <c r="E22" s="18"/>
    </row>
    <row r="23" spans="2:9" ht="27.6" customHeight="1" x14ac:dyDescent="0.25">
      <c r="B23" s="5" t="s">
        <v>8</v>
      </c>
      <c r="C23" s="4" t="s">
        <v>21</v>
      </c>
      <c r="D23" s="4" t="s">
        <v>22</v>
      </c>
      <c r="E23" s="4" t="s">
        <v>23</v>
      </c>
    </row>
    <row r="24" spans="2:9" ht="19.8" customHeight="1" x14ac:dyDescent="0.25">
      <c r="B24" s="3" t="s">
        <v>24</v>
      </c>
      <c r="C24" s="9">
        <f>C15/$C$19</f>
        <v>0.54882129994845175</v>
      </c>
      <c r="D24" s="9">
        <f>D15/$D$19</f>
        <v>0.2672612419124244</v>
      </c>
      <c r="E24" s="9">
        <f>E15/$E$19</f>
        <v>0.53452248382484879</v>
      </c>
      <c r="I24" s="11"/>
    </row>
    <row r="25" spans="2:9" ht="19.8" customHeight="1" x14ac:dyDescent="0.25">
      <c r="B25" s="3" t="s">
        <v>25</v>
      </c>
      <c r="C25" s="9">
        <f>C16/$C$19</f>
        <v>0</v>
      </c>
      <c r="D25" s="9">
        <f>D16/$D$19</f>
        <v>0.80178372573727319</v>
      </c>
      <c r="E25" s="9">
        <f>E16/$E$19</f>
        <v>0.2672612419124244</v>
      </c>
      <c r="I25" s="11"/>
    </row>
    <row r="26" spans="2:9" ht="19.8" customHeight="1" x14ac:dyDescent="0.25">
      <c r="B26" s="3" t="s">
        <v>26</v>
      </c>
      <c r="C26" s="9">
        <f>C17/$C$19</f>
        <v>0.76834981992783247</v>
      </c>
      <c r="D26" s="9">
        <f>D17/$D$19</f>
        <v>0</v>
      </c>
      <c r="E26" s="9">
        <f>E17/$E$19</f>
        <v>0.80178372573727308</v>
      </c>
      <c r="I26" s="11"/>
    </row>
    <row r="27" spans="2:9" ht="19.8" customHeight="1" x14ac:dyDescent="0.25">
      <c r="B27" s="3" t="s">
        <v>27</v>
      </c>
      <c r="C27" s="9">
        <f>C18/$C$19</f>
        <v>0.32929277996907103</v>
      </c>
      <c r="D27" s="9">
        <f>D18/$D$19</f>
        <v>0.53452248382484879</v>
      </c>
      <c r="E27" s="9">
        <f>E18/$E$19</f>
        <v>0</v>
      </c>
      <c r="I27" s="11"/>
    </row>
    <row r="28" spans="2:9" ht="19.8" customHeight="1" x14ac:dyDescent="0.25">
      <c r="C28" s="12"/>
      <c r="D28" s="12"/>
      <c r="E28" s="12"/>
      <c r="I28" s="11"/>
    </row>
    <row r="29" spans="2:9" ht="19.8" customHeight="1" x14ac:dyDescent="0.25">
      <c r="B29" s="7" t="s">
        <v>14</v>
      </c>
      <c r="C29" s="19" t="s">
        <v>10</v>
      </c>
      <c r="D29" s="19"/>
      <c r="E29" s="19"/>
      <c r="I29" s="11"/>
    </row>
    <row r="30" spans="2:9" ht="19.8" customHeight="1" x14ac:dyDescent="0.25">
      <c r="B30" s="18" t="s">
        <v>20</v>
      </c>
      <c r="C30" s="18"/>
      <c r="D30" s="18"/>
      <c r="E30" s="18"/>
      <c r="I30" s="11"/>
    </row>
    <row r="31" spans="2:9" ht="31.8" customHeight="1" x14ac:dyDescent="0.25">
      <c r="B31" s="5" t="s">
        <v>8</v>
      </c>
      <c r="C31" s="4" t="s">
        <v>21</v>
      </c>
      <c r="D31" s="4" t="s">
        <v>22</v>
      </c>
      <c r="E31" s="4" t="s">
        <v>23</v>
      </c>
      <c r="I31" s="11"/>
    </row>
    <row r="32" spans="2:9" ht="19.8" customHeight="1" x14ac:dyDescent="0.25">
      <c r="B32" s="3" t="s">
        <v>24</v>
      </c>
      <c r="C32" s="9">
        <f>C24/SUM($C$24:$C$27)</f>
        <v>0.33333333333333337</v>
      </c>
      <c r="D32" s="9">
        <f>D24/SUM($D$24:$D$27)</f>
        <v>0.16666666666666666</v>
      </c>
      <c r="E32" s="9">
        <f>E24/SUM($E$24:$E$27)</f>
        <v>0.33333333333333337</v>
      </c>
      <c r="I32" s="11"/>
    </row>
    <row r="33" spans="1:10" ht="19.8" customHeight="1" x14ac:dyDescent="0.25">
      <c r="B33" s="3" t="s">
        <v>25</v>
      </c>
      <c r="C33" s="9">
        <f t="shared" ref="C33:C35" si="3">C25/SUM($C$24:$C$27)</f>
        <v>0</v>
      </c>
      <c r="D33" s="9">
        <f t="shared" ref="D33:D35" si="4">D25/SUM($D$24:$D$27)</f>
        <v>0.5</v>
      </c>
      <c r="E33" s="9">
        <f t="shared" ref="E33:E35" si="5">E25/SUM($E$24:$E$27)</f>
        <v>0.16666666666666669</v>
      </c>
      <c r="I33" s="11"/>
    </row>
    <row r="34" spans="1:10" ht="19.8" customHeight="1" x14ac:dyDescent="0.25">
      <c r="B34" s="3" t="s">
        <v>26</v>
      </c>
      <c r="C34" s="9">
        <f t="shared" si="3"/>
        <v>0.46666666666666673</v>
      </c>
      <c r="D34" s="9">
        <f t="shared" si="4"/>
        <v>0</v>
      </c>
      <c r="E34" s="9">
        <f t="shared" si="5"/>
        <v>0.5</v>
      </c>
      <c r="I34" s="11"/>
    </row>
    <row r="35" spans="1:10" ht="19.8" customHeight="1" x14ac:dyDescent="0.25">
      <c r="B35" s="3" t="s">
        <v>27</v>
      </c>
      <c r="C35" s="9">
        <f t="shared" si="3"/>
        <v>0.2</v>
      </c>
      <c r="D35" s="9">
        <f t="shared" si="4"/>
        <v>0.33333333333333331</v>
      </c>
      <c r="E35" s="9">
        <f t="shared" si="5"/>
        <v>0</v>
      </c>
      <c r="I35" s="11"/>
    </row>
    <row r="36" spans="1:10" ht="19.8" customHeight="1" x14ac:dyDescent="0.25">
      <c r="A36" s="14" t="s">
        <v>32</v>
      </c>
      <c r="B36" s="3" t="s">
        <v>24</v>
      </c>
      <c r="C36" s="9">
        <f>IF(C32&gt;0,-C32*LN(C32),0)</f>
        <v>0.36620409622270322</v>
      </c>
      <c r="D36" s="9">
        <f t="shared" ref="D36:E39" si="6">IF(D32&gt;0,-D32*LN(D32),0)</f>
        <v>0.29862657820467581</v>
      </c>
      <c r="E36" s="9">
        <f t="shared" si="6"/>
        <v>0.36620409622270322</v>
      </c>
      <c r="I36" s="11"/>
    </row>
    <row r="37" spans="1:10" ht="19.8" customHeight="1" x14ac:dyDescent="0.25">
      <c r="A37" s="15"/>
      <c r="B37" s="3" t="s">
        <v>25</v>
      </c>
      <c r="C37" s="9">
        <f t="shared" ref="C37:C39" si="7">IF(C33&gt;0,-C33*LN(C33),0)</f>
        <v>0</v>
      </c>
      <c r="D37" s="9">
        <f t="shared" si="6"/>
        <v>0.34657359027997264</v>
      </c>
      <c r="E37" s="9">
        <f t="shared" si="6"/>
        <v>0.29862657820467586</v>
      </c>
      <c r="I37" s="11"/>
    </row>
    <row r="38" spans="1:10" ht="19.8" customHeight="1" x14ac:dyDescent="0.25">
      <c r="A38" s="15"/>
      <c r="B38" s="3" t="s">
        <v>26</v>
      </c>
      <c r="C38" s="9">
        <f t="shared" si="7"/>
        <v>0.35566535762188511</v>
      </c>
      <c r="D38" s="9">
        <f t="shared" si="6"/>
        <v>0</v>
      </c>
      <c r="E38" s="9">
        <f t="shared" si="6"/>
        <v>0.34657359027997264</v>
      </c>
      <c r="I38" s="11"/>
    </row>
    <row r="39" spans="1:10" ht="19.8" customHeight="1" x14ac:dyDescent="0.25">
      <c r="A39" s="15"/>
      <c r="B39" s="3" t="s">
        <v>27</v>
      </c>
      <c r="C39" s="9">
        <f t="shared" si="7"/>
        <v>0.32188758248682009</v>
      </c>
      <c r="D39" s="9">
        <f t="shared" si="6"/>
        <v>0.36620409622270322</v>
      </c>
      <c r="E39" s="9">
        <f t="shared" si="6"/>
        <v>0</v>
      </c>
      <c r="I39" s="11"/>
    </row>
    <row r="40" spans="1:10" ht="19.8" customHeight="1" x14ac:dyDescent="0.25">
      <c r="C40" s="12"/>
      <c r="D40" s="12"/>
      <c r="E40" s="12"/>
      <c r="I40" s="11"/>
    </row>
    <row r="41" spans="1:10" ht="19.8" customHeight="1" x14ac:dyDescent="6.95">
      <c r="B41" s="7" t="s">
        <v>9</v>
      </c>
      <c r="C41" s="16" t="s">
        <v>17</v>
      </c>
      <c r="D41" s="16"/>
      <c r="E41"/>
      <c r="H41" s="13"/>
    </row>
    <row r="42" spans="1:10" ht="33" customHeight="1" x14ac:dyDescent="6.95">
      <c r="B42" s="4" t="s">
        <v>19</v>
      </c>
      <c r="C42" s="4" t="s">
        <v>21</v>
      </c>
      <c r="D42" s="4" t="s">
        <v>22</v>
      </c>
      <c r="E42" s="4" t="s">
        <v>23</v>
      </c>
      <c r="H42" s="13"/>
    </row>
    <row r="43" spans="1:10" ht="19.8" customHeight="1" x14ac:dyDescent="6.95">
      <c r="B43" s="3" t="s">
        <v>11</v>
      </c>
      <c r="C43" s="9">
        <f>SUM(C36:C39)/LN($H$2)</f>
        <v>0.75291155010414224</v>
      </c>
      <c r="D43" s="9">
        <f>SUM(D36:D39)/LN($H$2)</f>
        <v>0.7295739585136225</v>
      </c>
      <c r="E43" s="9">
        <f>SUM(E36:E39)/LN($H$2)</f>
        <v>0.7295739585136225</v>
      </c>
      <c r="G43" s="17"/>
      <c r="H43" s="17"/>
      <c r="J43" s="13"/>
    </row>
    <row r="44" spans="1:10" ht="19.8" customHeight="1" x14ac:dyDescent="6.95">
      <c r="B44" s="3" t="s">
        <v>16</v>
      </c>
      <c r="C44" s="9">
        <f>1-C43</f>
        <v>0.24708844989585776</v>
      </c>
      <c r="D44" s="9">
        <f t="shared" ref="D44:E44" si="8">1-D43</f>
        <v>0.2704260414863775</v>
      </c>
      <c r="E44" s="9">
        <f t="shared" si="8"/>
        <v>0.2704260414863775</v>
      </c>
      <c r="G44" s="10"/>
      <c r="H44" s="10"/>
      <c r="J44" s="13"/>
    </row>
    <row r="45" spans="1:10" ht="19.8" customHeight="1" x14ac:dyDescent="6.95">
      <c r="B45" s="3" t="s">
        <v>18</v>
      </c>
      <c r="C45" s="9">
        <f>C44/SUM($C$44:$E$44)</f>
        <v>0.31358768788844521</v>
      </c>
      <c r="D45" s="9">
        <f t="shared" ref="D45:E45" si="9">D44/SUM($C$44:$E$44)</f>
        <v>0.34320615605577737</v>
      </c>
      <c r="E45" s="9">
        <f t="shared" si="9"/>
        <v>0.34320615605577737</v>
      </c>
      <c r="G45" s="10"/>
      <c r="H45" s="10"/>
      <c r="J45" s="13"/>
    </row>
  </sheetData>
  <mergeCells count="10">
    <mergeCell ref="A36:A39"/>
    <mergeCell ref="C41:D41"/>
    <mergeCell ref="G43:H43"/>
    <mergeCell ref="B2:E2"/>
    <mergeCell ref="C12:D12"/>
    <mergeCell ref="B13:E13"/>
    <mergeCell ref="C21:D21"/>
    <mergeCell ref="B22:E22"/>
    <mergeCell ref="B30:E30"/>
    <mergeCell ref="C29:E2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熵权法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寸 三</cp:lastModifiedBy>
  <dcterms:created xsi:type="dcterms:W3CDTF">2015-06-05T18:19:34Z</dcterms:created>
  <dcterms:modified xsi:type="dcterms:W3CDTF">2025-07-26T11:33:09Z</dcterms:modified>
</cp:coreProperties>
</file>