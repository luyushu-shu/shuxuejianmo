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1-工作\0. 科思通途\3. 公司基本工作\2. 竞赛\01. 数学建模\1. 数学建模视频\01-数学建模算法精讲\01-韩\04-评价类-模糊综合评价\"/>
    </mc:Choice>
  </mc:AlternateContent>
  <xr:revisionPtr revIDLastSave="0" documentId="13_ncr:1_{CCFBB50F-4186-4A70-96CE-AC23A3B718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模糊综合评价" sheetId="4" r:id="rId1"/>
    <sheet name="多层次模糊综合评价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5" l="1"/>
  <c r="I34" i="5"/>
  <c r="H34" i="5"/>
  <c r="G34" i="5"/>
  <c r="F34" i="5"/>
  <c r="E34" i="5"/>
  <c r="J33" i="5"/>
  <c r="I33" i="5"/>
  <c r="H33" i="5"/>
  <c r="G33" i="5"/>
  <c r="F33" i="5"/>
  <c r="E33" i="5"/>
  <c r="J32" i="5"/>
  <c r="I32" i="5"/>
  <c r="H32" i="5"/>
  <c r="G32" i="5"/>
  <c r="F32" i="5"/>
  <c r="E32" i="5"/>
  <c r="J31" i="5"/>
  <c r="I31" i="5"/>
  <c r="H31" i="5"/>
  <c r="G31" i="5"/>
  <c r="F31" i="5"/>
  <c r="E31" i="5"/>
  <c r="J29" i="5"/>
  <c r="I29" i="5"/>
  <c r="H29" i="5"/>
  <c r="G29" i="5"/>
  <c r="F29" i="5"/>
  <c r="E29" i="5"/>
  <c r="J28" i="5"/>
  <c r="I28" i="5"/>
  <c r="H28" i="5"/>
  <c r="G28" i="5"/>
  <c r="F28" i="5"/>
  <c r="E28" i="5"/>
  <c r="J27" i="5"/>
  <c r="I27" i="5"/>
  <c r="H27" i="5"/>
  <c r="G27" i="5"/>
  <c r="F27" i="5"/>
  <c r="E27" i="5"/>
  <c r="J26" i="5"/>
  <c r="I26" i="5"/>
  <c r="H26" i="5"/>
  <c r="G26" i="5"/>
  <c r="F26" i="5"/>
  <c r="E26" i="5"/>
  <c r="J25" i="5"/>
  <c r="I25" i="5"/>
  <c r="H25" i="5"/>
  <c r="G25" i="5"/>
  <c r="F25" i="5"/>
  <c r="E25" i="5"/>
  <c r="J24" i="5"/>
  <c r="I24" i="5"/>
  <c r="H24" i="5"/>
  <c r="G24" i="5"/>
  <c r="F24" i="5"/>
  <c r="E24" i="5"/>
  <c r="J23" i="5"/>
  <c r="I23" i="5"/>
  <c r="H23" i="5"/>
  <c r="G23" i="5"/>
  <c r="F23" i="5"/>
  <c r="E23" i="5"/>
  <c r="R16" i="5"/>
  <c r="R15" i="5"/>
  <c r="R14" i="5"/>
  <c r="R13" i="5"/>
  <c r="R12" i="5"/>
  <c r="R11" i="5"/>
  <c r="R10" i="5"/>
  <c r="P20" i="5"/>
  <c r="P19" i="5"/>
  <c r="P18" i="5"/>
  <c r="P17" i="5"/>
  <c r="P10" i="5"/>
  <c r="P9" i="5"/>
  <c r="P8" i="5"/>
  <c r="P7" i="5"/>
  <c r="P6" i="5"/>
  <c r="P5" i="5"/>
  <c r="P4" i="5"/>
  <c r="P3" i="5"/>
  <c r="N3" i="5"/>
  <c r="G27" i="4"/>
  <c r="F27" i="4"/>
  <c r="E27" i="4"/>
  <c r="D27" i="4"/>
  <c r="C27" i="4"/>
  <c r="G15" i="4"/>
  <c r="F15" i="4"/>
  <c r="E15" i="4"/>
  <c r="D15" i="4"/>
  <c r="C15" i="4"/>
  <c r="G17" i="4"/>
  <c r="F17" i="4"/>
  <c r="E17" i="4"/>
  <c r="D17" i="4"/>
  <c r="C17" i="4"/>
  <c r="G16" i="4"/>
  <c r="F16" i="4"/>
  <c r="E16" i="4"/>
  <c r="D16" i="4"/>
  <c r="C16" i="4"/>
  <c r="G14" i="4"/>
  <c r="F14" i="4"/>
  <c r="E14" i="4"/>
  <c r="D14" i="4"/>
  <c r="C14" i="4"/>
  <c r="G13" i="4"/>
  <c r="F13" i="4"/>
  <c r="E13" i="4"/>
  <c r="D13" i="4"/>
  <c r="C13" i="4"/>
  <c r="E39" i="5" l="1"/>
  <c r="H39" i="5"/>
  <c r="G39" i="5"/>
  <c r="J39" i="5"/>
  <c r="F39" i="5"/>
  <c r="I39" i="5"/>
  <c r="I37" i="5"/>
  <c r="I30" i="5"/>
  <c r="E37" i="5"/>
  <c r="H37" i="5"/>
  <c r="J37" i="5"/>
  <c r="F37" i="5"/>
  <c r="G37" i="5"/>
  <c r="E30" i="5"/>
  <c r="F30" i="5"/>
  <c r="F38" i="5" s="1"/>
  <c r="J30" i="5"/>
  <c r="J38" i="5" s="1"/>
  <c r="G30" i="5"/>
  <c r="G38" i="5" s="1"/>
  <c r="H30" i="5"/>
  <c r="H38" i="5" s="1"/>
  <c r="F42" i="5" l="1"/>
  <c r="G42" i="5"/>
  <c r="J42" i="5"/>
  <c r="H42" i="5"/>
  <c r="E38" i="5"/>
  <c r="E42" i="5" s="1"/>
  <c r="I38" i="5"/>
  <c r="I42" i="5" s="1"/>
</calcChain>
</file>

<file path=xl/sharedStrings.xml><?xml version="1.0" encoding="utf-8"?>
<sst xmlns="http://schemas.openxmlformats.org/spreadsheetml/2006/main" count="165" uniqueCount="59">
  <si>
    <t>第1步</t>
    <phoneticPr fontId="1" type="noConversion"/>
  </si>
  <si>
    <t>第2步</t>
    <phoneticPr fontId="1" type="noConversion"/>
  </si>
  <si>
    <t>第3步</t>
    <phoneticPr fontId="1" type="noConversion"/>
  </si>
  <si>
    <t>指标</t>
    <phoneticPr fontId="1" type="noConversion"/>
  </si>
  <si>
    <t>边坡设计方案（决策）</t>
    <phoneticPr fontId="1" type="noConversion"/>
  </si>
  <si>
    <t>方案1</t>
    <phoneticPr fontId="1" type="noConversion"/>
  </si>
  <si>
    <t>方案2</t>
  </si>
  <si>
    <t>方案3</t>
  </si>
  <si>
    <t>方案4</t>
  </si>
  <si>
    <t>方案5</t>
  </si>
  <si>
    <t>基建投资
（万元）</t>
    <phoneticPr fontId="1" type="noConversion"/>
  </si>
  <si>
    <t>采矿成本
（元/吨）</t>
    <phoneticPr fontId="1" type="noConversion"/>
  </si>
  <si>
    <t>不稳定费用
（万元）</t>
    <phoneticPr fontId="1" type="noConversion"/>
  </si>
  <si>
    <t>净现值
（万元）</t>
    <phoneticPr fontId="1" type="noConversion"/>
  </si>
  <si>
    <t xml:space="preserve">           方案
指标</t>
    <phoneticPr fontId="1" type="noConversion"/>
  </si>
  <si>
    <t>求隶属值</t>
    <phoneticPr fontId="1" type="noConversion"/>
  </si>
  <si>
    <t>确定权重</t>
    <phoneticPr fontId="1" type="noConversion"/>
  </si>
  <si>
    <t>权重</t>
    <phoneticPr fontId="1" type="noConversion"/>
  </si>
  <si>
    <t>可采矿量
（吨）</t>
    <phoneticPr fontId="1" type="noConversion"/>
  </si>
  <si>
    <t>项目</t>
    <phoneticPr fontId="1" type="noConversion"/>
  </si>
  <si>
    <t>综合评价</t>
    <phoneticPr fontId="1" type="noConversion"/>
  </si>
  <si>
    <t>计算综合评价</t>
    <phoneticPr fontId="1" type="noConversion"/>
  </si>
  <si>
    <t>材料费</t>
  </si>
  <si>
    <t>运输费</t>
  </si>
  <si>
    <t>维修费</t>
  </si>
  <si>
    <t>折旧费</t>
  </si>
  <si>
    <t>工资</t>
  </si>
  <si>
    <t>电耗</t>
  </si>
  <si>
    <t>水耗</t>
  </si>
  <si>
    <t>产品品牌</t>
  </si>
  <si>
    <t>产品质量</t>
  </si>
  <si>
    <t>性价比</t>
  </si>
  <si>
    <t>产品款式</t>
  </si>
  <si>
    <t>产品包装</t>
  </si>
  <si>
    <t>店铺信用度</t>
  </si>
  <si>
    <t>售后服务</t>
  </si>
  <si>
    <t>产品情况</t>
  </si>
  <si>
    <t>销售能力</t>
  </si>
  <si>
    <t>运行费用</t>
  </si>
  <si>
    <t>销售人员能力</t>
  </si>
  <si>
    <t>广告宣传</t>
  </si>
  <si>
    <t>市场需求</t>
  </si>
  <si>
    <t>行业需求</t>
  </si>
  <si>
    <t>家庭需求</t>
  </si>
  <si>
    <t>指标</t>
  </si>
  <si>
    <t>产品1</t>
  </si>
  <si>
    <t>产品2</t>
  </si>
  <si>
    <t>产品3</t>
  </si>
  <si>
    <t>产品4</t>
  </si>
  <si>
    <t>产品5</t>
  </si>
  <si>
    <t>产品6</t>
  </si>
  <si>
    <t>运行费用</t>
    <phoneticPr fontId="1" type="noConversion"/>
  </si>
  <si>
    <t>产品情况</t>
    <phoneticPr fontId="1" type="noConversion"/>
  </si>
  <si>
    <t>销售能力</t>
    <phoneticPr fontId="1" type="noConversion"/>
  </si>
  <si>
    <t>市场需求</t>
    <phoneticPr fontId="1" type="noConversion"/>
  </si>
  <si>
    <t>权重</t>
    <phoneticPr fontId="1" type="noConversion"/>
  </si>
  <si>
    <t>指标</t>
    <phoneticPr fontId="1" type="noConversion"/>
  </si>
  <si>
    <t>/</t>
    <phoneticPr fontId="1" type="noConversion"/>
  </si>
  <si>
    <t>综合评价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</si>
</sst>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0" fillId="0" borderId="0" xfId="0" applyNumberFormat="1"/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11</xdr:row>
      <xdr:rowOff>220980</xdr:rowOff>
    </xdr:from>
    <xdr:to>
      <xdr:col>9</xdr:col>
      <xdr:colOff>129540</xdr:colOff>
      <xdr:row>13</xdr:row>
      <xdr:rowOff>33294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9">
              <a:extLst>
                <a:ext uri="{FF2B5EF4-FFF2-40B4-BE49-F238E27FC236}">
                  <a16:creationId xmlns:a16="http://schemas.microsoft.com/office/drawing/2014/main" id="{D2349F96-10C6-8BCB-CEF1-99159419C669}"/>
                </a:ext>
              </a:extLst>
            </xdr:cNvPr>
            <xdr:cNvSpPr txBox="1"/>
          </xdr:nvSpPr>
          <xdr:spPr>
            <a:xfrm>
              <a:off x="4526280" y="3848100"/>
              <a:ext cx="1424940" cy="566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altLang="zh-CN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8800</m:t>
                        </m:r>
                      </m:den>
                    </m:f>
                  </m:oMath>
                </m:oMathPara>
              </a14:m>
              <a:endParaRPr lang="en-US" altLang="zh-CN" sz="1200" b="0"/>
            </a:p>
          </xdr:txBody>
        </xdr:sp>
      </mc:Choice>
      <mc:Fallback xmlns="">
        <xdr:sp macro="" textlink="">
          <xdr:nvSpPr>
            <xdr:cNvPr id="4" name="文本框 9">
              <a:extLst>
                <a:ext uri="{FF2B5EF4-FFF2-40B4-BE49-F238E27FC236}">
                  <a16:creationId xmlns:a16="http://schemas.microsoft.com/office/drawing/2014/main" id="{D2349F96-10C6-8BCB-CEF1-99159419C669}"/>
                </a:ext>
              </a:extLst>
            </xdr:cNvPr>
            <xdr:cNvSpPr txBox="1"/>
          </xdr:nvSpPr>
          <xdr:spPr>
            <a:xfrm>
              <a:off x="4526280" y="3848100"/>
              <a:ext cx="1424940" cy="566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50000"/>
                </a:lnSpc>
              </a:pPr>
              <a:r>
                <a:rPr lang="en-US" altLang="zh-CN" sz="1200" b="0" i="0">
                  <a:latin typeface="Cambria Math" panose="02040503050406030204" pitchFamily="18" charset="0"/>
                </a:rPr>
                <a:t>𝜇_𝐴 (𝑥)=𝑥/8800</a:t>
              </a:r>
              <a:endParaRPr lang="en-US" altLang="zh-CN" sz="1200" b="0"/>
            </a:p>
          </xdr:txBody>
        </xdr:sp>
      </mc:Fallback>
    </mc:AlternateContent>
    <xdr:clientData/>
  </xdr:twoCellAnchor>
  <xdr:twoCellAnchor>
    <xdr:from>
      <xdr:col>7</xdr:col>
      <xdr:colOff>91440</xdr:colOff>
      <xdr:row>12</xdr:row>
      <xdr:rowOff>266700</xdr:rowOff>
    </xdr:from>
    <xdr:to>
      <xdr:col>9</xdr:col>
      <xdr:colOff>243840</xdr:colOff>
      <xdr:row>14</xdr:row>
      <xdr:rowOff>25674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93">
              <a:extLst>
                <a:ext uri="{FF2B5EF4-FFF2-40B4-BE49-F238E27FC236}">
                  <a16:creationId xmlns:a16="http://schemas.microsoft.com/office/drawing/2014/main" id="{33EA6E27-1DE7-78C4-4D67-A5D0EBB7AFE7}"/>
                </a:ext>
              </a:extLst>
            </xdr:cNvPr>
            <xdr:cNvSpPr txBox="1"/>
          </xdr:nvSpPr>
          <xdr:spPr>
            <a:xfrm>
              <a:off x="4678680" y="4244340"/>
              <a:ext cx="1386840" cy="566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d>
                      <m:d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altLang="zh-CN" sz="12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8000</m:t>
                        </m:r>
                      </m:den>
                    </m:f>
                  </m:oMath>
                </m:oMathPara>
              </a14:m>
              <a:endParaRPr lang="en-US" altLang="zh-CN" sz="1200" b="0"/>
            </a:p>
          </xdr:txBody>
        </xdr:sp>
      </mc:Choice>
      <mc:Fallback xmlns="">
        <xdr:sp macro="" textlink="">
          <xdr:nvSpPr>
            <xdr:cNvPr id="6" name="文本框 93">
              <a:extLst>
                <a:ext uri="{FF2B5EF4-FFF2-40B4-BE49-F238E27FC236}">
                  <a16:creationId xmlns:a16="http://schemas.microsoft.com/office/drawing/2014/main" id="{33EA6E27-1DE7-78C4-4D67-A5D0EBB7AFE7}"/>
                </a:ext>
              </a:extLst>
            </xdr:cNvPr>
            <xdr:cNvSpPr txBox="1"/>
          </xdr:nvSpPr>
          <xdr:spPr>
            <a:xfrm>
              <a:off x="4678680" y="4244340"/>
              <a:ext cx="1386840" cy="566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50000"/>
                </a:lnSpc>
              </a:pPr>
              <a:r>
                <a:rPr lang="en-US" altLang="zh-CN" sz="1200" b="0" i="0">
                  <a:latin typeface="Cambria Math" panose="02040503050406030204" pitchFamily="18" charset="0"/>
                </a:rPr>
                <a:t>𝜇_𝐵 (𝑥)=1−𝑥/8000</a:t>
              </a:r>
              <a:endParaRPr lang="en-US" altLang="zh-CN" sz="1200" b="0"/>
            </a:p>
          </xdr:txBody>
        </xdr:sp>
      </mc:Fallback>
    </mc:AlternateContent>
    <xdr:clientData/>
  </xdr:twoCellAnchor>
  <xdr:twoCellAnchor>
    <xdr:from>
      <xdr:col>7</xdr:col>
      <xdr:colOff>419100</xdr:colOff>
      <xdr:row>13</xdr:row>
      <xdr:rowOff>190500</xdr:rowOff>
    </xdr:from>
    <xdr:to>
      <xdr:col>14</xdr:col>
      <xdr:colOff>289001</xdr:colOff>
      <xdr:row>15</xdr:row>
      <xdr:rowOff>186205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9">
              <a:extLst>
                <a:ext uri="{FF2B5EF4-FFF2-40B4-BE49-F238E27FC236}">
                  <a16:creationId xmlns:a16="http://schemas.microsoft.com/office/drawing/2014/main" id="{EC71622B-71DD-F53A-B39C-9B94322A0F1C}"/>
                </a:ext>
              </a:extLst>
            </xdr:cNvPr>
            <xdr:cNvSpPr txBox="1"/>
          </xdr:nvSpPr>
          <xdr:spPr>
            <a:xfrm>
              <a:off x="5006340" y="4572000"/>
              <a:ext cx="4190441" cy="8034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altLang="zh-CN" sz="12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2"/>
                                  <m:mcJc m:val="center"/>
                                </m:mcPr>
                              </m:mc>
                            </m:mcs>
                            <m:ctrlPr>
                              <a:rPr lang="en-US" altLang="zh-CN" sz="1200" b="0" i="1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m:rPr>
                                  <m:brk m:alnAt="7"/>
                                </m:rP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e>
                            <m:e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0≤</m:t>
                              </m:r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≤5.5</m:t>
                              </m:r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8−</m:t>
                                  </m:r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num>
                                <m:den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8−5.5</m:t>
                                  </m:r>
                                </m:den>
                              </m:f>
                            </m:e>
                            <m:e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5.5≤</m:t>
                              </m:r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≤8.0</m:t>
                              </m:r>
                            </m:e>
                          </m:mr>
                          <m:mr>
                            <m:e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0</m:t>
                              </m:r>
                            </m:e>
                            <m:e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8.0≤</m:t>
                              </m:r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en-US" altLang="zh-CN" sz="1200" b="0"/>
            </a:p>
          </xdr:txBody>
        </xdr:sp>
      </mc:Choice>
      <mc:Fallback xmlns="">
        <xdr:sp macro="" textlink="">
          <xdr:nvSpPr>
            <xdr:cNvPr id="7" name="文本框 9">
              <a:extLst>
                <a:ext uri="{FF2B5EF4-FFF2-40B4-BE49-F238E27FC236}">
                  <a16:creationId xmlns:a16="http://schemas.microsoft.com/office/drawing/2014/main" id="{EC71622B-71DD-F53A-B39C-9B94322A0F1C}"/>
                </a:ext>
              </a:extLst>
            </xdr:cNvPr>
            <xdr:cNvSpPr txBox="1"/>
          </xdr:nvSpPr>
          <xdr:spPr>
            <a:xfrm>
              <a:off x="5006340" y="4572000"/>
              <a:ext cx="4190441" cy="8034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:r>
                <a:rPr lang="en-US" altLang="zh-CN" sz="1200" b="0" i="0">
                  <a:latin typeface="Cambria Math" panose="02040503050406030204" pitchFamily="18" charset="0"/>
                </a:rPr>
                <a:t>𝜇_𝐶 (𝑥)={■8(1&amp;0≤𝑥≤5.5@(8−𝑥)/(8−5.5)&amp;5.5≤𝑥≤8.0@0&amp;8.0≤𝑥)┤</a:t>
              </a:r>
              <a:endParaRPr lang="en-US" altLang="zh-CN" sz="1200" b="0"/>
            </a:p>
          </xdr:txBody>
        </xdr:sp>
      </mc:Fallback>
    </mc:AlternateContent>
    <xdr:clientData/>
  </xdr:twoCellAnchor>
  <xdr:twoCellAnchor>
    <xdr:from>
      <xdr:col>7</xdr:col>
      <xdr:colOff>1</xdr:colOff>
      <xdr:row>14</xdr:row>
      <xdr:rowOff>388620</xdr:rowOff>
    </xdr:from>
    <xdr:to>
      <xdr:col>9</xdr:col>
      <xdr:colOff>220981</xdr:colOff>
      <xdr:row>15</xdr:row>
      <xdr:rowOff>393333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9">
              <a:extLst>
                <a:ext uri="{FF2B5EF4-FFF2-40B4-BE49-F238E27FC236}">
                  <a16:creationId xmlns:a16="http://schemas.microsoft.com/office/drawing/2014/main" id="{656718CE-6767-7BB3-FF6E-816A538B9B08}"/>
                </a:ext>
              </a:extLst>
            </xdr:cNvPr>
            <xdr:cNvSpPr txBox="1"/>
          </xdr:nvSpPr>
          <xdr:spPr>
            <a:xfrm>
              <a:off x="4587241" y="5173980"/>
              <a:ext cx="1455420" cy="40857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d>
                      <m:d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altLang="zh-CN" sz="12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200</m:t>
                        </m:r>
                      </m:den>
                    </m:f>
                  </m:oMath>
                </m:oMathPara>
              </a14:m>
              <a:endParaRPr lang="en-US" altLang="zh-CN" sz="1200" b="0"/>
            </a:p>
          </xdr:txBody>
        </xdr:sp>
      </mc:Choice>
      <mc:Fallback xmlns="">
        <xdr:sp macro="" textlink="">
          <xdr:nvSpPr>
            <xdr:cNvPr id="8" name="文本框 9">
              <a:extLst>
                <a:ext uri="{FF2B5EF4-FFF2-40B4-BE49-F238E27FC236}">
                  <a16:creationId xmlns:a16="http://schemas.microsoft.com/office/drawing/2014/main" id="{656718CE-6767-7BB3-FF6E-816A538B9B08}"/>
                </a:ext>
              </a:extLst>
            </xdr:cNvPr>
            <xdr:cNvSpPr txBox="1"/>
          </xdr:nvSpPr>
          <xdr:spPr>
            <a:xfrm>
              <a:off x="4587241" y="5173980"/>
              <a:ext cx="1455420" cy="40857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:r>
                <a:rPr lang="en-US" altLang="zh-CN" sz="1200" b="0" i="0">
                  <a:latin typeface="Cambria Math" panose="02040503050406030204" pitchFamily="18" charset="0"/>
                </a:rPr>
                <a:t>𝜇_𝐷 (𝑥)=1−𝑥/200</a:t>
              </a:r>
              <a:endParaRPr lang="en-US" altLang="zh-CN" sz="1200" b="0"/>
            </a:p>
          </xdr:txBody>
        </xdr:sp>
      </mc:Fallback>
    </mc:AlternateContent>
    <xdr:clientData/>
  </xdr:twoCellAnchor>
  <xdr:twoCellAnchor>
    <xdr:from>
      <xdr:col>7</xdr:col>
      <xdr:colOff>91441</xdr:colOff>
      <xdr:row>15</xdr:row>
      <xdr:rowOff>373380</xdr:rowOff>
    </xdr:from>
    <xdr:to>
      <xdr:col>9</xdr:col>
      <xdr:colOff>76201</xdr:colOff>
      <xdr:row>17</xdr:row>
      <xdr:rowOff>8666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4">
              <a:extLst>
                <a:ext uri="{FF2B5EF4-FFF2-40B4-BE49-F238E27FC236}">
                  <a16:creationId xmlns:a16="http://schemas.microsoft.com/office/drawing/2014/main" id="{807B73D7-2116-24F7-363F-9CA2AB38B8DC}"/>
                </a:ext>
              </a:extLst>
            </xdr:cNvPr>
            <xdr:cNvSpPr txBox="1"/>
          </xdr:nvSpPr>
          <xdr:spPr>
            <a:xfrm>
              <a:off x="4678681" y="5562600"/>
              <a:ext cx="1219200" cy="44300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d>
                      <m:d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altLang="zh-CN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−50</m:t>
                        </m:r>
                      </m:num>
                      <m:den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1450</m:t>
                        </m:r>
                      </m:den>
                    </m:f>
                  </m:oMath>
                </m:oMathPara>
              </a14:m>
              <a:endParaRPr lang="en-US" altLang="zh-CN" sz="1200" b="0"/>
            </a:p>
          </xdr:txBody>
        </xdr:sp>
      </mc:Choice>
      <mc:Fallback xmlns="">
        <xdr:sp macro="" textlink="">
          <xdr:nvSpPr>
            <xdr:cNvPr id="10" name="文本框 4">
              <a:extLst>
                <a:ext uri="{FF2B5EF4-FFF2-40B4-BE49-F238E27FC236}">
                  <a16:creationId xmlns:a16="http://schemas.microsoft.com/office/drawing/2014/main" id="{807B73D7-2116-24F7-363F-9CA2AB38B8DC}"/>
                </a:ext>
              </a:extLst>
            </xdr:cNvPr>
            <xdr:cNvSpPr txBox="1"/>
          </xdr:nvSpPr>
          <xdr:spPr>
            <a:xfrm>
              <a:off x="4678681" y="5562600"/>
              <a:ext cx="1219200" cy="44300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just" defTabSz="514350" rtl="0" eaLnBrk="1" fontAlgn="base" latinLnBrk="0" hangingPunct="1">
                <a:lnSpc>
                  <a:spcPct val="20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:r>
                <a:rPr lang="en-US" altLang="zh-CN" sz="1200" b="0" i="0">
                  <a:latin typeface="Cambria Math" panose="02040503050406030204" pitchFamily="18" charset="0"/>
                </a:rPr>
                <a:t>𝜇_𝐸 (𝑥)=(𝑥−50)/1450</a:t>
              </a:r>
              <a:endParaRPr lang="en-US" altLang="zh-CN" sz="1200" b="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F595-1FAB-4099-AD47-E460AD68F303}">
  <dimension ref="B2:L48"/>
  <sheetViews>
    <sheetView tabSelected="1" zoomScaleNormal="100" workbookViewId="0">
      <selection activeCell="N10" sqref="N10"/>
    </sheetView>
  </sheetViews>
  <sheetFormatPr defaultColWidth="9" defaultRowHeight="19.8" customHeight="1" x14ac:dyDescent="0.25"/>
  <cols>
    <col min="1" max="1" width="9" style="1"/>
    <col min="2" max="2" width="11.6640625" style="1" customWidth="1"/>
    <col min="3" max="4" width="9" style="1"/>
    <col min="5" max="5" width="10.21875" style="1" customWidth="1"/>
    <col min="6" max="16384" width="9" style="1"/>
  </cols>
  <sheetData>
    <row r="2" spans="2:7" ht="19.8" customHeight="1" x14ac:dyDescent="0.25">
      <c r="B2" s="10" t="s">
        <v>4</v>
      </c>
      <c r="C2" s="11"/>
      <c r="D2" s="11"/>
      <c r="E2" s="11"/>
      <c r="F2" s="11"/>
      <c r="G2" s="11"/>
    </row>
    <row r="3" spans="2:7" ht="27.6" x14ac:dyDescent="0.25">
      <c r="B3" s="4" t="s">
        <v>14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2:7" ht="31.8" customHeight="1" x14ac:dyDescent="0.25">
      <c r="B4" s="3" t="s">
        <v>18</v>
      </c>
      <c r="C4" s="2">
        <v>4700</v>
      </c>
      <c r="D4" s="2">
        <v>6700</v>
      </c>
      <c r="E4" s="2">
        <v>5900</v>
      </c>
      <c r="F4" s="2">
        <v>8800</v>
      </c>
      <c r="G4" s="2">
        <v>7600</v>
      </c>
    </row>
    <row r="5" spans="2:7" ht="31.8" customHeight="1" x14ac:dyDescent="0.25">
      <c r="B5" s="3" t="s">
        <v>10</v>
      </c>
      <c r="C5" s="2">
        <v>5000</v>
      </c>
      <c r="D5" s="2">
        <v>5500</v>
      </c>
      <c r="E5" s="2">
        <v>5300</v>
      </c>
      <c r="F5" s="2">
        <v>6800</v>
      </c>
      <c r="G5" s="2">
        <v>6000</v>
      </c>
    </row>
    <row r="6" spans="2:7" ht="31.8" customHeight="1" x14ac:dyDescent="0.25">
      <c r="B6" s="3" t="s">
        <v>11</v>
      </c>
      <c r="C6" s="2">
        <v>4</v>
      </c>
      <c r="D6" s="2">
        <v>6.1</v>
      </c>
      <c r="E6" s="2">
        <v>5.5</v>
      </c>
      <c r="F6" s="2">
        <v>7</v>
      </c>
      <c r="G6" s="2">
        <v>6.8</v>
      </c>
    </row>
    <row r="7" spans="2:7" ht="31.8" customHeight="1" x14ac:dyDescent="0.25">
      <c r="B7" s="3" t="s">
        <v>12</v>
      </c>
      <c r="C7" s="2">
        <v>30</v>
      </c>
      <c r="D7" s="2">
        <v>50</v>
      </c>
      <c r="E7" s="2">
        <v>40</v>
      </c>
      <c r="F7" s="2">
        <v>200</v>
      </c>
      <c r="G7" s="2">
        <v>160</v>
      </c>
    </row>
    <row r="8" spans="2:7" ht="31.8" customHeight="1" x14ac:dyDescent="0.25">
      <c r="B8" s="3" t="s">
        <v>13</v>
      </c>
      <c r="C8" s="2">
        <v>1500</v>
      </c>
      <c r="D8" s="2">
        <v>700</v>
      </c>
      <c r="E8" s="2">
        <v>1000</v>
      </c>
      <c r="F8" s="2">
        <v>50</v>
      </c>
      <c r="G8" s="2">
        <v>100</v>
      </c>
    </row>
    <row r="10" spans="2:7" ht="19.8" customHeight="1" x14ac:dyDescent="0.25">
      <c r="B10" s="5" t="s">
        <v>0</v>
      </c>
      <c r="C10" s="9" t="s">
        <v>15</v>
      </c>
      <c r="D10" s="9"/>
    </row>
    <row r="11" spans="2:7" ht="19.8" customHeight="1" x14ac:dyDescent="0.25">
      <c r="B11" s="10" t="s">
        <v>4</v>
      </c>
      <c r="C11" s="11"/>
      <c r="D11" s="11"/>
      <c r="E11" s="11"/>
      <c r="F11" s="11"/>
      <c r="G11" s="11"/>
    </row>
    <row r="12" spans="2:7" ht="27.6" customHeight="1" x14ac:dyDescent="0.25">
      <c r="B12" s="4" t="s">
        <v>14</v>
      </c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</row>
    <row r="13" spans="2:7" ht="31.8" customHeight="1" x14ac:dyDescent="0.25">
      <c r="B13" s="3" t="s">
        <v>18</v>
      </c>
      <c r="C13" s="8">
        <f>C4/8800</f>
        <v>0.53409090909090906</v>
      </c>
      <c r="D13" s="8">
        <f t="shared" ref="D13:G13" si="0">D4/8800</f>
        <v>0.76136363636363635</v>
      </c>
      <c r="E13" s="8">
        <f t="shared" si="0"/>
        <v>0.67045454545454541</v>
      </c>
      <c r="F13" s="8">
        <f t="shared" si="0"/>
        <v>1</v>
      </c>
      <c r="G13" s="8">
        <f t="shared" si="0"/>
        <v>0.86363636363636365</v>
      </c>
    </row>
    <row r="14" spans="2:7" ht="31.8" customHeight="1" x14ac:dyDescent="0.25">
      <c r="B14" s="3" t="s">
        <v>10</v>
      </c>
      <c r="C14" s="8">
        <f>1-(C5/8000)</f>
        <v>0.375</v>
      </c>
      <c r="D14" s="8">
        <f t="shared" ref="D14:G14" si="1">1-(D5/8000)</f>
        <v>0.3125</v>
      </c>
      <c r="E14" s="8">
        <f t="shared" si="1"/>
        <v>0.33750000000000002</v>
      </c>
      <c r="F14" s="8">
        <f t="shared" si="1"/>
        <v>0.15000000000000002</v>
      </c>
      <c r="G14" s="8">
        <f t="shared" si="1"/>
        <v>0.25</v>
      </c>
    </row>
    <row r="15" spans="2:7" ht="31.8" customHeight="1" x14ac:dyDescent="0.25">
      <c r="B15" s="3" t="s">
        <v>11</v>
      </c>
      <c r="C15" s="8">
        <f>IF(C6&lt;5.5,1,IF(C6&gt;8,0,(8-C6)/(8-5.5)))</f>
        <v>1</v>
      </c>
      <c r="D15" s="8">
        <f t="shared" ref="D15:G15" si="2">IF(D6&lt;5.5,1,IF(D6&gt;8,0,(8-D6)/(8-5.5)))</f>
        <v>0.76000000000000012</v>
      </c>
      <c r="E15" s="8">
        <f t="shared" si="2"/>
        <v>1</v>
      </c>
      <c r="F15" s="8">
        <f t="shared" si="2"/>
        <v>0.4</v>
      </c>
      <c r="G15" s="8">
        <f t="shared" si="2"/>
        <v>0.48000000000000009</v>
      </c>
    </row>
    <row r="16" spans="2:7" ht="31.8" customHeight="1" x14ac:dyDescent="0.25">
      <c r="B16" s="3" t="s">
        <v>12</v>
      </c>
      <c r="C16" s="8">
        <f>1-(C7/200)</f>
        <v>0.85</v>
      </c>
      <c r="D16" s="8">
        <f t="shared" ref="D16:G16" si="3">1-(D7/200)</f>
        <v>0.75</v>
      </c>
      <c r="E16" s="8">
        <f t="shared" si="3"/>
        <v>0.8</v>
      </c>
      <c r="F16" s="8">
        <f t="shared" si="3"/>
        <v>0</v>
      </c>
      <c r="G16" s="8">
        <f t="shared" si="3"/>
        <v>0.19999999999999996</v>
      </c>
    </row>
    <row r="17" spans="2:12" ht="31.8" customHeight="1" x14ac:dyDescent="0.25">
      <c r="B17" s="3" t="s">
        <v>13</v>
      </c>
      <c r="C17" s="8">
        <f>(C8-50)/1450</f>
        <v>1</v>
      </c>
      <c r="D17" s="8">
        <f t="shared" ref="D17:G17" si="4">(D8-50)/1450</f>
        <v>0.44827586206896552</v>
      </c>
      <c r="E17" s="8">
        <f t="shared" si="4"/>
        <v>0.65517241379310343</v>
      </c>
      <c r="F17" s="8">
        <f t="shared" si="4"/>
        <v>0</v>
      </c>
      <c r="G17" s="8">
        <f t="shared" si="4"/>
        <v>3.4482758620689655E-2</v>
      </c>
    </row>
    <row r="19" spans="2:12" ht="19.8" customHeight="1" x14ac:dyDescent="0.25">
      <c r="B19" s="5" t="s">
        <v>1</v>
      </c>
      <c r="C19" s="9" t="s">
        <v>16</v>
      </c>
      <c r="D19" s="9"/>
    </row>
    <row r="20" spans="2:12" ht="19.8" customHeight="1" x14ac:dyDescent="0.25">
      <c r="B20" s="10" t="s">
        <v>4</v>
      </c>
      <c r="C20" s="11"/>
      <c r="D20" s="11"/>
      <c r="E20" s="11"/>
      <c r="F20" s="11"/>
      <c r="G20" s="11"/>
    </row>
    <row r="21" spans="2:12" ht="37.799999999999997" customHeight="1" x14ac:dyDescent="0.25">
      <c r="B21" s="3" t="s">
        <v>3</v>
      </c>
      <c r="C21" s="3" t="s">
        <v>18</v>
      </c>
      <c r="D21" s="3" t="s">
        <v>10</v>
      </c>
      <c r="E21" s="3" t="s">
        <v>11</v>
      </c>
      <c r="F21" s="3" t="s">
        <v>12</v>
      </c>
      <c r="G21" s="3" t="s">
        <v>13</v>
      </c>
    </row>
    <row r="22" spans="2:12" ht="37.799999999999997" customHeight="1" x14ac:dyDescent="0.25">
      <c r="B22" s="3" t="s">
        <v>17</v>
      </c>
      <c r="C22" s="2">
        <v>0.2</v>
      </c>
      <c r="D22" s="2">
        <v>0.2</v>
      </c>
      <c r="E22" s="2">
        <v>0.2</v>
      </c>
      <c r="F22" s="2">
        <v>0.2</v>
      </c>
      <c r="G22" s="2">
        <v>0.2</v>
      </c>
    </row>
    <row r="23" spans="2:12" ht="19.8" customHeight="1" x14ac:dyDescent="0.25">
      <c r="C23" s="7"/>
      <c r="D23" s="7"/>
      <c r="E23" s="7"/>
    </row>
    <row r="24" spans="2:12" ht="19.8" customHeight="1" x14ac:dyDescent="0.25">
      <c r="B24" s="5" t="s">
        <v>2</v>
      </c>
      <c r="C24" s="9" t="s">
        <v>21</v>
      </c>
      <c r="D24" s="9"/>
    </row>
    <row r="25" spans="2:12" ht="19.8" customHeight="1" x14ac:dyDescent="0.25">
      <c r="B25" s="10" t="s">
        <v>4</v>
      </c>
      <c r="C25" s="11"/>
      <c r="D25" s="11"/>
      <c r="E25" s="11"/>
      <c r="F25" s="11"/>
      <c r="G25" s="11"/>
    </row>
    <row r="26" spans="2:12" ht="25.8" customHeight="1" x14ac:dyDescent="0.25">
      <c r="B26" s="3" t="s">
        <v>19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</row>
    <row r="27" spans="2:12" ht="25.8" customHeight="1" x14ac:dyDescent="0.25">
      <c r="B27" s="3" t="s">
        <v>20</v>
      </c>
      <c r="C27" s="6">
        <f>$C$22*C13+$D$22*C14+$E$22*C15+$F$22*C16+$G$22*C17</f>
        <v>0.75181818181818194</v>
      </c>
      <c r="D27" s="6">
        <f t="shared" ref="D27:G27" si="5">$C$22*D13+$D$22*D14+$E$22*D15+$F$22*D16+$G$22*D17</f>
        <v>0.60642789968652044</v>
      </c>
      <c r="E27" s="6">
        <f t="shared" si="5"/>
        <v>0.69262539184952987</v>
      </c>
      <c r="F27" s="6">
        <f t="shared" si="5"/>
        <v>0.31000000000000005</v>
      </c>
      <c r="G27" s="6">
        <f t="shared" si="5"/>
        <v>0.36562382445141067</v>
      </c>
    </row>
    <row r="28" spans="2:12" ht="19.8" customHeight="1" x14ac:dyDescent="0.25">
      <c r="B28"/>
      <c r="C28"/>
      <c r="D28"/>
      <c r="E28"/>
      <c r="F28"/>
    </row>
    <row r="29" spans="2:12" ht="19.8" customHeight="1" x14ac:dyDescent="0.25">
      <c r="B29"/>
      <c r="C29"/>
      <c r="D29"/>
      <c r="E29"/>
      <c r="F29"/>
      <c r="G29"/>
      <c r="H29"/>
      <c r="I29"/>
      <c r="J29"/>
      <c r="K29"/>
      <c r="L29"/>
    </row>
    <row r="30" spans="2:12" ht="19.8" customHeight="1" x14ac:dyDescent="0.25">
      <c r="B30"/>
      <c r="C30"/>
      <c r="D30"/>
      <c r="E30"/>
      <c r="F30"/>
      <c r="G30"/>
      <c r="H30"/>
      <c r="I30"/>
      <c r="J30"/>
      <c r="K30"/>
      <c r="L30"/>
    </row>
    <row r="31" spans="2:12" ht="19.8" customHeight="1" x14ac:dyDescent="0.25">
      <c r="B31"/>
      <c r="C31"/>
      <c r="D31"/>
      <c r="E31"/>
      <c r="F31"/>
      <c r="G31"/>
      <c r="H31"/>
      <c r="I31"/>
      <c r="J31"/>
      <c r="K31"/>
      <c r="L31"/>
    </row>
    <row r="32" spans="2:12" ht="19.8" customHeight="1" x14ac:dyDescent="0.25">
      <c r="B32"/>
      <c r="C32"/>
      <c r="D32"/>
      <c r="E32"/>
      <c r="F32"/>
      <c r="G32"/>
      <c r="H32"/>
      <c r="I32"/>
      <c r="J32"/>
      <c r="K32"/>
      <c r="L32"/>
    </row>
    <row r="33" spans="2:12" ht="19.8" customHeight="1" x14ac:dyDescent="0.25">
      <c r="B33"/>
      <c r="C33"/>
      <c r="D33"/>
      <c r="E33"/>
      <c r="F33"/>
      <c r="G33"/>
      <c r="H33"/>
      <c r="I33"/>
      <c r="J33"/>
      <c r="K33"/>
      <c r="L33"/>
    </row>
    <row r="34" spans="2:12" ht="19.8" customHeight="1" x14ac:dyDescent="0.25">
      <c r="B34"/>
      <c r="C34"/>
      <c r="D34"/>
      <c r="E34"/>
      <c r="F34"/>
      <c r="G34"/>
      <c r="H34"/>
      <c r="I34"/>
      <c r="J34"/>
      <c r="K34"/>
      <c r="L34"/>
    </row>
    <row r="35" spans="2:12" ht="19.8" customHeight="1" x14ac:dyDescent="0.25">
      <c r="B35"/>
      <c r="C35"/>
      <c r="D35"/>
      <c r="E35"/>
      <c r="F35"/>
      <c r="G35"/>
      <c r="H35"/>
      <c r="I35"/>
      <c r="J35"/>
      <c r="K35"/>
      <c r="L35"/>
    </row>
    <row r="36" spans="2:12" ht="19.8" customHeight="1" x14ac:dyDescent="0.25">
      <c r="C36"/>
      <c r="D36"/>
      <c r="E36"/>
      <c r="F36"/>
      <c r="G36"/>
      <c r="H36"/>
      <c r="I36"/>
      <c r="J36"/>
      <c r="K36"/>
      <c r="L36"/>
    </row>
    <row r="37" spans="2:12" ht="19.8" customHeight="1" x14ac:dyDescent="0.25">
      <c r="C37"/>
      <c r="D37"/>
      <c r="E37"/>
      <c r="F37"/>
      <c r="G37"/>
      <c r="H37"/>
      <c r="I37"/>
      <c r="J37"/>
      <c r="K37"/>
      <c r="L37"/>
    </row>
    <row r="38" spans="2:12" ht="19.8" customHeight="1" x14ac:dyDescent="0.25">
      <c r="C38"/>
      <c r="D38"/>
      <c r="E38"/>
      <c r="F38"/>
      <c r="G38"/>
      <c r="H38"/>
      <c r="I38"/>
      <c r="J38"/>
      <c r="K38"/>
      <c r="L38"/>
    </row>
    <row r="39" spans="2:12" ht="19.8" customHeight="1" x14ac:dyDescent="0.25">
      <c r="C39"/>
      <c r="D39"/>
      <c r="E39"/>
      <c r="F39"/>
      <c r="G39"/>
      <c r="H39"/>
      <c r="I39"/>
      <c r="J39"/>
      <c r="K39"/>
      <c r="L39"/>
    </row>
    <row r="40" spans="2:12" ht="19.8" customHeight="1" x14ac:dyDescent="0.25">
      <c r="C40"/>
      <c r="D40"/>
      <c r="E40"/>
      <c r="F40"/>
      <c r="G40"/>
      <c r="H40"/>
      <c r="I40"/>
      <c r="J40"/>
      <c r="K40"/>
      <c r="L40"/>
    </row>
    <row r="41" spans="2:12" ht="19.8" customHeight="1" x14ac:dyDescent="0.25">
      <c r="C41"/>
      <c r="D41"/>
      <c r="E41"/>
      <c r="F41"/>
      <c r="G41"/>
      <c r="H41"/>
      <c r="I41"/>
      <c r="J41"/>
      <c r="K41"/>
      <c r="L41"/>
    </row>
    <row r="42" spans="2:12" ht="19.8" customHeight="1" x14ac:dyDescent="0.25">
      <c r="C42"/>
      <c r="D42"/>
      <c r="E42"/>
      <c r="F42"/>
      <c r="G42"/>
      <c r="H42"/>
      <c r="I42"/>
      <c r="J42"/>
      <c r="K42"/>
      <c r="L42"/>
    </row>
    <row r="43" spans="2:12" ht="19.8" customHeight="1" x14ac:dyDescent="0.25">
      <c r="C43"/>
      <c r="D43"/>
      <c r="E43"/>
      <c r="F43"/>
      <c r="G43"/>
      <c r="H43"/>
      <c r="I43"/>
      <c r="J43"/>
      <c r="K43"/>
      <c r="L43"/>
    </row>
    <row r="44" spans="2:12" ht="19.8" customHeight="1" x14ac:dyDescent="0.25">
      <c r="C44"/>
      <c r="D44"/>
      <c r="E44"/>
      <c r="F44"/>
      <c r="G44"/>
      <c r="H44"/>
      <c r="I44"/>
      <c r="J44"/>
      <c r="K44"/>
      <c r="L44"/>
    </row>
    <row r="45" spans="2:12" ht="19.8" customHeight="1" x14ac:dyDescent="0.25">
      <c r="C45"/>
      <c r="D45"/>
      <c r="E45"/>
      <c r="F45"/>
      <c r="G45"/>
      <c r="H45"/>
      <c r="I45"/>
      <c r="J45"/>
      <c r="K45"/>
      <c r="L45"/>
    </row>
    <row r="46" spans="2:12" ht="19.8" customHeight="1" x14ac:dyDescent="0.25">
      <c r="C46"/>
      <c r="D46"/>
      <c r="E46"/>
      <c r="F46"/>
      <c r="G46"/>
      <c r="H46"/>
      <c r="I46"/>
      <c r="J46"/>
      <c r="K46"/>
      <c r="L46"/>
    </row>
    <row r="47" spans="2:12" ht="19.8" customHeight="1" x14ac:dyDescent="0.25">
      <c r="C47"/>
      <c r="D47"/>
      <c r="E47"/>
      <c r="F47"/>
      <c r="G47"/>
      <c r="H47"/>
      <c r="I47"/>
      <c r="J47"/>
      <c r="K47"/>
      <c r="L47"/>
    </row>
    <row r="48" spans="2:12" ht="19.8" customHeight="1" x14ac:dyDescent="0.25">
      <c r="C48"/>
      <c r="D48"/>
      <c r="E48"/>
      <c r="F48"/>
      <c r="G48"/>
      <c r="H48"/>
      <c r="I48"/>
      <c r="J48"/>
      <c r="K48"/>
      <c r="L48"/>
    </row>
  </sheetData>
  <mergeCells count="7">
    <mergeCell ref="C24:D24"/>
    <mergeCell ref="B25:G25"/>
    <mergeCell ref="C10:D10"/>
    <mergeCell ref="C19:D19"/>
    <mergeCell ref="B2:G2"/>
    <mergeCell ref="B11:G11"/>
    <mergeCell ref="B20:G2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314D-A17F-46D5-A21B-E10EBA7007BB}">
  <dimension ref="B2:R42"/>
  <sheetViews>
    <sheetView zoomScale="115" zoomScaleNormal="115" workbookViewId="0">
      <selection activeCell="M38" sqref="M38"/>
    </sheetView>
  </sheetViews>
  <sheetFormatPr defaultRowHeight="13.8" x14ac:dyDescent="0.25"/>
  <cols>
    <col min="13" max="13" width="13.6640625" customWidth="1"/>
    <col min="14" max="14" width="8.44140625" customWidth="1"/>
    <col min="15" max="15" width="13.6640625" customWidth="1"/>
    <col min="16" max="16" width="8.44140625" customWidth="1"/>
    <col min="17" max="17" width="13.6640625" customWidth="1"/>
    <col min="18" max="18" width="8.44140625" customWidth="1"/>
  </cols>
  <sheetData>
    <row r="2" spans="2:18" ht="19.8" customHeight="1" x14ac:dyDescent="0.25">
      <c r="B2" s="12" t="s">
        <v>44</v>
      </c>
      <c r="C2" s="13"/>
      <c r="D2" s="14"/>
      <c r="E2" s="18" t="s">
        <v>45</v>
      </c>
      <c r="F2" s="18" t="s">
        <v>46</v>
      </c>
      <c r="G2" s="18" t="s">
        <v>47</v>
      </c>
      <c r="H2" s="18" t="s">
        <v>48</v>
      </c>
      <c r="I2" s="18" t="s">
        <v>49</v>
      </c>
      <c r="J2" s="18" t="s">
        <v>50</v>
      </c>
      <c r="M2" s="18" t="s">
        <v>56</v>
      </c>
      <c r="N2" s="18" t="s">
        <v>55</v>
      </c>
      <c r="O2" s="18" t="s">
        <v>56</v>
      </c>
      <c r="P2" s="18" t="s">
        <v>55</v>
      </c>
      <c r="Q2" s="18" t="s">
        <v>56</v>
      </c>
      <c r="R2" s="18" t="s">
        <v>55</v>
      </c>
    </row>
    <row r="3" spans="2:18" ht="20.399999999999999" customHeight="1" x14ac:dyDescent="0.25">
      <c r="B3" s="15" t="s">
        <v>36</v>
      </c>
      <c r="C3" s="12" t="s">
        <v>29</v>
      </c>
      <c r="D3" s="14"/>
      <c r="E3" s="2">
        <v>0.12</v>
      </c>
      <c r="F3" s="2">
        <v>0.18</v>
      </c>
      <c r="G3" s="2">
        <v>0.17</v>
      </c>
      <c r="H3" s="2">
        <v>0.23</v>
      </c>
      <c r="I3" s="2">
        <v>0.13</v>
      </c>
      <c r="J3" s="2">
        <v>0.17</v>
      </c>
      <c r="K3" s="29"/>
      <c r="M3" s="22" t="s">
        <v>52</v>
      </c>
      <c r="N3" s="24">
        <f>1/3</f>
        <v>0.33333333333333331</v>
      </c>
      <c r="O3" s="18" t="s">
        <v>29</v>
      </c>
      <c r="P3" s="23">
        <f>1/5</f>
        <v>0.2</v>
      </c>
      <c r="Q3" s="18" t="s">
        <v>57</v>
      </c>
      <c r="R3" s="23" t="s">
        <v>57</v>
      </c>
    </row>
    <row r="4" spans="2:18" ht="20.399999999999999" customHeight="1" x14ac:dyDescent="0.25">
      <c r="B4" s="16"/>
      <c r="C4" s="12" t="s">
        <v>30</v>
      </c>
      <c r="D4" s="14"/>
      <c r="E4" s="2">
        <v>0.15</v>
      </c>
      <c r="F4" s="2">
        <v>0.13</v>
      </c>
      <c r="G4" s="2">
        <v>0.18</v>
      </c>
      <c r="H4" s="2">
        <v>0.25</v>
      </c>
      <c r="I4" s="2">
        <v>0.12</v>
      </c>
      <c r="J4" s="2">
        <v>0.17</v>
      </c>
      <c r="K4" s="29"/>
      <c r="M4" s="22"/>
      <c r="N4" s="24"/>
      <c r="O4" s="18" t="s">
        <v>30</v>
      </c>
      <c r="P4" s="23">
        <f t="shared" ref="P4:P18" si="0">1/5</f>
        <v>0.2</v>
      </c>
      <c r="Q4" s="18" t="s">
        <v>57</v>
      </c>
      <c r="R4" s="23" t="s">
        <v>57</v>
      </c>
    </row>
    <row r="5" spans="2:18" ht="20.399999999999999" customHeight="1" x14ac:dyDescent="0.25">
      <c r="B5" s="16"/>
      <c r="C5" s="12" t="s">
        <v>31</v>
      </c>
      <c r="D5" s="14"/>
      <c r="E5" s="2">
        <v>0.14000000000000001</v>
      </c>
      <c r="F5" s="2">
        <v>0.13</v>
      </c>
      <c r="G5" s="2">
        <v>0.16</v>
      </c>
      <c r="H5" s="2">
        <v>0.18</v>
      </c>
      <c r="I5" s="2">
        <v>0.2</v>
      </c>
      <c r="J5" s="2">
        <v>0.19</v>
      </c>
      <c r="K5" s="29"/>
      <c r="M5" s="22"/>
      <c r="N5" s="24"/>
      <c r="O5" s="18" t="s">
        <v>31</v>
      </c>
      <c r="P5" s="23">
        <f t="shared" si="0"/>
        <v>0.2</v>
      </c>
      <c r="Q5" s="18" t="s">
        <v>57</v>
      </c>
      <c r="R5" s="23" t="s">
        <v>57</v>
      </c>
    </row>
    <row r="6" spans="2:18" ht="20.399999999999999" customHeight="1" x14ac:dyDescent="0.25">
      <c r="B6" s="16"/>
      <c r="C6" s="12" t="s">
        <v>32</v>
      </c>
      <c r="D6" s="14"/>
      <c r="E6" s="2">
        <v>0.12</v>
      </c>
      <c r="F6" s="2">
        <v>0.14000000000000001</v>
      </c>
      <c r="G6" s="2">
        <v>0.15</v>
      </c>
      <c r="H6" s="2">
        <v>0.17</v>
      </c>
      <c r="I6" s="2">
        <v>0.19</v>
      </c>
      <c r="J6" s="2">
        <v>0.23</v>
      </c>
      <c r="K6" s="29"/>
      <c r="M6" s="22"/>
      <c r="N6" s="24"/>
      <c r="O6" s="18" t="s">
        <v>32</v>
      </c>
      <c r="P6" s="23">
        <f t="shared" si="0"/>
        <v>0.2</v>
      </c>
      <c r="Q6" s="18" t="s">
        <v>57</v>
      </c>
      <c r="R6" s="23" t="s">
        <v>57</v>
      </c>
    </row>
    <row r="7" spans="2:18" ht="20.399999999999999" customHeight="1" x14ac:dyDescent="0.25">
      <c r="B7" s="17"/>
      <c r="C7" s="12" t="s">
        <v>33</v>
      </c>
      <c r="D7" s="14"/>
      <c r="E7" s="2">
        <v>0.16</v>
      </c>
      <c r="F7" s="2">
        <v>0.12</v>
      </c>
      <c r="G7" s="2">
        <v>0.13</v>
      </c>
      <c r="H7" s="2">
        <v>0.25</v>
      </c>
      <c r="I7" s="2">
        <v>0.18</v>
      </c>
      <c r="J7" s="2">
        <v>0.16</v>
      </c>
      <c r="K7" s="29"/>
      <c r="M7" s="22"/>
      <c r="N7" s="24"/>
      <c r="O7" s="18" t="s">
        <v>33</v>
      </c>
      <c r="P7" s="23">
        <f t="shared" si="0"/>
        <v>0.2</v>
      </c>
      <c r="Q7" s="18" t="s">
        <v>57</v>
      </c>
      <c r="R7" s="23" t="s">
        <v>57</v>
      </c>
    </row>
    <row r="8" spans="2:18" ht="20.399999999999999" customHeight="1" x14ac:dyDescent="0.25">
      <c r="B8" s="15" t="s">
        <v>37</v>
      </c>
      <c r="C8" s="12" t="s">
        <v>34</v>
      </c>
      <c r="D8" s="14"/>
      <c r="E8" s="2">
        <v>0.13</v>
      </c>
      <c r="F8" s="2">
        <v>0.15</v>
      </c>
      <c r="G8" s="2">
        <v>0.14000000000000001</v>
      </c>
      <c r="H8" s="2">
        <v>0.18</v>
      </c>
      <c r="I8" s="2">
        <v>0.16</v>
      </c>
      <c r="J8" s="2">
        <v>0.24</v>
      </c>
      <c r="K8" s="29"/>
      <c r="M8" s="22" t="s">
        <v>53</v>
      </c>
      <c r="N8" s="24">
        <v>0.33333333333333331</v>
      </c>
      <c r="O8" s="18" t="s">
        <v>34</v>
      </c>
      <c r="P8" s="23">
        <f t="shared" si="0"/>
        <v>0.2</v>
      </c>
      <c r="Q8" s="18" t="s">
        <v>57</v>
      </c>
      <c r="R8" s="23" t="s">
        <v>57</v>
      </c>
    </row>
    <row r="9" spans="2:18" ht="20.399999999999999" customHeight="1" x14ac:dyDescent="0.25">
      <c r="B9" s="16"/>
      <c r="C9" s="12" t="s">
        <v>35</v>
      </c>
      <c r="D9" s="14"/>
      <c r="E9" s="2">
        <v>0.12</v>
      </c>
      <c r="F9" s="2">
        <v>0.16</v>
      </c>
      <c r="G9" s="2">
        <v>0.13</v>
      </c>
      <c r="H9" s="2">
        <v>0.17</v>
      </c>
      <c r="I9" s="2">
        <v>0.19</v>
      </c>
      <c r="J9" s="2">
        <v>0.23</v>
      </c>
      <c r="K9" s="29"/>
      <c r="M9" s="22"/>
      <c r="N9" s="24"/>
      <c r="O9" s="18" t="s">
        <v>35</v>
      </c>
      <c r="P9" s="23">
        <f t="shared" si="0"/>
        <v>0.2</v>
      </c>
      <c r="Q9" s="18" t="s">
        <v>57</v>
      </c>
      <c r="R9" s="23" t="s">
        <v>57</v>
      </c>
    </row>
    <row r="10" spans="2:18" ht="20.399999999999999" customHeight="1" x14ac:dyDescent="0.25">
      <c r="B10" s="16"/>
      <c r="C10" s="15" t="s">
        <v>51</v>
      </c>
      <c r="D10" s="18" t="s">
        <v>22</v>
      </c>
      <c r="E10" s="2">
        <v>0.18</v>
      </c>
      <c r="F10" s="2">
        <v>0.14000000000000001</v>
      </c>
      <c r="G10" s="2">
        <v>0.18</v>
      </c>
      <c r="H10" s="2">
        <v>0.14000000000000001</v>
      </c>
      <c r="I10" s="2">
        <v>0.13</v>
      </c>
      <c r="J10" s="2">
        <v>0.23</v>
      </c>
      <c r="K10" s="29"/>
      <c r="M10" s="22"/>
      <c r="N10" s="24"/>
      <c r="O10" s="22" t="s">
        <v>51</v>
      </c>
      <c r="P10" s="26">
        <f t="shared" si="0"/>
        <v>0.2</v>
      </c>
      <c r="Q10" s="18" t="s">
        <v>22</v>
      </c>
      <c r="R10" s="25">
        <f>1/7</f>
        <v>0.14285714285714285</v>
      </c>
    </row>
    <row r="11" spans="2:18" ht="20.399999999999999" customHeight="1" x14ac:dyDescent="0.25">
      <c r="B11" s="16"/>
      <c r="C11" s="16"/>
      <c r="D11" s="18" t="s">
        <v>23</v>
      </c>
      <c r="E11" s="2">
        <v>0.15</v>
      </c>
      <c r="F11" s="2">
        <v>0.2</v>
      </c>
      <c r="G11" s="2">
        <v>0.15</v>
      </c>
      <c r="H11" s="2">
        <v>0.25</v>
      </c>
      <c r="I11" s="2">
        <v>0.1</v>
      </c>
      <c r="J11" s="2">
        <v>0.15</v>
      </c>
      <c r="K11" s="29"/>
      <c r="M11" s="22"/>
      <c r="N11" s="24"/>
      <c r="O11" s="22"/>
      <c r="P11" s="27"/>
      <c r="Q11" s="18" t="s">
        <v>23</v>
      </c>
      <c r="R11" s="25">
        <f t="shared" ref="R11:R16" si="1">1/7</f>
        <v>0.14285714285714285</v>
      </c>
    </row>
    <row r="12" spans="2:18" ht="20.399999999999999" customHeight="1" x14ac:dyDescent="0.25">
      <c r="B12" s="16"/>
      <c r="C12" s="16"/>
      <c r="D12" s="18" t="s">
        <v>24</v>
      </c>
      <c r="E12" s="2">
        <v>0.25</v>
      </c>
      <c r="F12" s="2">
        <v>0.12</v>
      </c>
      <c r="G12" s="2">
        <v>0.13</v>
      </c>
      <c r="H12" s="2">
        <v>0.12</v>
      </c>
      <c r="I12" s="2">
        <v>0.18</v>
      </c>
      <c r="J12" s="2">
        <v>0.2</v>
      </c>
      <c r="K12" s="29"/>
      <c r="M12" s="22"/>
      <c r="N12" s="24"/>
      <c r="O12" s="22"/>
      <c r="P12" s="27"/>
      <c r="Q12" s="18" t="s">
        <v>24</v>
      </c>
      <c r="R12" s="25">
        <f t="shared" si="1"/>
        <v>0.14285714285714285</v>
      </c>
    </row>
    <row r="13" spans="2:18" ht="20.399999999999999" customHeight="1" x14ac:dyDescent="0.25">
      <c r="B13" s="16"/>
      <c r="C13" s="16"/>
      <c r="D13" s="18" t="s">
        <v>25</v>
      </c>
      <c r="E13" s="2">
        <v>0.16</v>
      </c>
      <c r="F13" s="2">
        <v>0.15</v>
      </c>
      <c r="G13" s="2">
        <v>0.21</v>
      </c>
      <c r="H13" s="2">
        <v>0.11</v>
      </c>
      <c r="I13" s="2">
        <v>0.2</v>
      </c>
      <c r="J13" s="2">
        <v>0.17</v>
      </c>
      <c r="K13" s="29"/>
      <c r="M13" s="22"/>
      <c r="N13" s="24"/>
      <c r="O13" s="22"/>
      <c r="P13" s="27"/>
      <c r="Q13" s="18" t="s">
        <v>25</v>
      </c>
      <c r="R13" s="25">
        <f t="shared" si="1"/>
        <v>0.14285714285714285</v>
      </c>
    </row>
    <row r="14" spans="2:18" ht="20.399999999999999" customHeight="1" x14ac:dyDescent="0.25">
      <c r="B14" s="16"/>
      <c r="C14" s="16"/>
      <c r="D14" s="18" t="s">
        <v>26</v>
      </c>
      <c r="E14" s="2">
        <v>0.23</v>
      </c>
      <c r="F14" s="2">
        <v>0.18</v>
      </c>
      <c r="G14" s="2">
        <v>0.17</v>
      </c>
      <c r="H14" s="2">
        <v>0.16</v>
      </c>
      <c r="I14" s="2">
        <v>0.15</v>
      </c>
      <c r="J14" s="2">
        <v>0.11</v>
      </c>
      <c r="K14" s="29"/>
      <c r="M14" s="22"/>
      <c r="N14" s="24"/>
      <c r="O14" s="22"/>
      <c r="P14" s="27"/>
      <c r="Q14" s="18" t="s">
        <v>26</v>
      </c>
      <c r="R14" s="25">
        <f t="shared" si="1"/>
        <v>0.14285714285714285</v>
      </c>
    </row>
    <row r="15" spans="2:18" ht="20.399999999999999" customHeight="1" x14ac:dyDescent="0.25">
      <c r="B15" s="16"/>
      <c r="C15" s="16"/>
      <c r="D15" s="18" t="s">
        <v>27</v>
      </c>
      <c r="E15" s="2">
        <v>0.19</v>
      </c>
      <c r="F15" s="2">
        <v>0.13</v>
      </c>
      <c r="G15" s="2">
        <v>0.12</v>
      </c>
      <c r="H15" s="2">
        <v>0.12</v>
      </c>
      <c r="I15" s="2">
        <v>0.11</v>
      </c>
      <c r="J15" s="2">
        <v>0.33</v>
      </c>
      <c r="K15" s="29"/>
      <c r="M15" s="22"/>
      <c r="N15" s="24"/>
      <c r="O15" s="22"/>
      <c r="P15" s="27"/>
      <c r="Q15" s="18" t="s">
        <v>27</v>
      </c>
      <c r="R15" s="25">
        <f t="shared" si="1"/>
        <v>0.14285714285714285</v>
      </c>
    </row>
    <row r="16" spans="2:18" ht="20.399999999999999" customHeight="1" x14ac:dyDescent="0.25">
      <c r="B16" s="16"/>
      <c r="C16" s="17"/>
      <c r="D16" s="18" t="s">
        <v>28</v>
      </c>
      <c r="E16" s="2">
        <v>0.17</v>
      </c>
      <c r="F16" s="2">
        <v>0.16</v>
      </c>
      <c r="G16" s="2">
        <v>0.15</v>
      </c>
      <c r="H16" s="2">
        <v>0.08</v>
      </c>
      <c r="I16" s="2">
        <v>0.25</v>
      </c>
      <c r="J16" s="2">
        <v>0.19</v>
      </c>
      <c r="K16" s="29"/>
      <c r="M16" s="22"/>
      <c r="N16" s="24"/>
      <c r="O16" s="22"/>
      <c r="P16" s="28"/>
      <c r="Q16" s="18" t="s">
        <v>28</v>
      </c>
      <c r="R16" s="25">
        <f t="shared" si="1"/>
        <v>0.14285714285714285</v>
      </c>
    </row>
    <row r="17" spans="2:18" ht="20.399999999999999" customHeight="1" x14ac:dyDescent="0.25">
      <c r="B17" s="16"/>
      <c r="C17" s="12" t="s">
        <v>39</v>
      </c>
      <c r="D17" s="14"/>
      <c r="E17" s="2">
        <v>0.14000000000000001</v>
      </c>
      <c r="F17" s="2">
        <v>0.13</v>
      </c>
      <c r="G17" s="2">
        <v>0.15</v>
      </c>
      <c r="H17" s="2">
        <v>0.16</v>
      </c>
      <c r="I17" s="2">
        <v>0.18</v>
      </c>
      <c r="J17" s="2">
        <v>0.24</v>
      </c>
      <c r="K17" s="29"/>
      <c r="M17" s="22"/>
      <c r="N17" s="24"/>
      <c r="O17" s="18" t="s">
        <v>39</v>
      </c>
      <c r="P17" s="23">
        <f t="shared" si="0"/>
        <v>0.2</v>
      </c>
      <c r="Q17" s="18" t="s">
        <v>57</v>
      </c>
      <c r="R17" s="23" t="s">
        <v>57</v>
      </c>
    </row>
    <row r="18" spans="2:18" ht="20.399999999999999" customHeight="1" x14ac:dyDescent="0.25">
      <c r="B18" s="17"/>
      <c r="C18" s="12" t="s">
        <v>40</v>
      </c>
      <c r="D18" s="14"/>
      <c r="E18" s="2">
        <v>0.16</v>
      </c>
      <c r="F18" s="2">
        <v>0.15</v>
      </c>
      <c r="G18" s="2">
        <v>0.15</v>
      </c>
      <c r="H18" s="2">
        <v>0.17</v>
      </c>
      <c r="I18" s="2">
        <v>0.18</v>
      </c>
      <c r="J18" s="2">
        <v>0.19</v>
      </c>
      <c r="K18" s="29"/>
      <c r="M18" s="22"/>
      <c r="N18" s="24"/>
      <c r="O18" s="18" t="s">
        <v>40</v>
      </c>
      <c r="P18" s="23">
        <f t="shared" si="0"/>
        <v>0.2</v>
      </c>
      <c r="Q18" s="18" t="s">
        <v>57</v>
      </c>
      <c r="R18" s="23" t="s">
        <v>57</v>
      </c>
    </row>
    <row r="19" spans="2:18" ht="20.399999999999999" customHeight="1" x14ac:dyDescent="0.25">
      <c r="B19" s="15" t="s">
        <v>41</v>
      </c>
      <c r="C19" s="12" t="s">
        <v>42</v>
      </c>
      <c r="D19" s="14"/>
      <c r="E19" s="2">
        <v>0.15</v>
      </c>
      <c r="F19" s="2">
        <v>0.14000000000000001</v>
      </c>
      <c r="G19" s="2">
        <v>0.13</v>
      </c>
      <c r="H19" s="2">
        <v>0.18</v>
      </c>
      <c r="I19" s="2">
        <v>0.14000000000000001</v>
      </c>
      <c r="J19" s="2">
        <v>0.26</v>
      </c>
      <c r="K19" s="29"/>
      <c r="M19" s="22" t="s">
        <v>54</v>
      </c>
      <c r="N19" s="24">
        <v>0.33333333333333331</v>
      </c>
      <c r="O19" s="18" t="s">
        <v>42</v>
      </c>
      <c r="P19" s="23">
        <f>1/2</f>
        <v>0.5</v>
      </c>
      <c r="Q19" s="18" t="s">
        <v>57</v>
      </c>
      <c r="R19" s="23" t="s">
        <v>57</v>
      </c>
    </row>
    <row r="20" spans="2:18" ht="20.399999999999999" customHeight="1" x14ac:dyDescent="0.25">
      <c r="B20" s="17"/>
      <c r="C20" s="12" t="s">
        <v>43</v>
      </c>
      <c r="D20" s="14"/>
      <c r="E20" s="2">
        <v>0.16</v>
      </c>
      <c r="F20" s="2">
        <v>0.15</v>
      </c>
      <c r="G20" s="2">
        <v>0.18</v>
      </c>
      <c r="H20" s="2">
        <v>0.14000000000000001</v>
      </c>
      <c r="I20" s="2">
        <v>0.16</v>
      </c>
      <c r="J20" s="2">
        <v>0.21</v>
      </c>
      <c r="K20" s="29"/>
      <c r="M20" s="22"/>
      <c r="N20" s="24"/>
      <c r="O20" s="18" t="s">
        <v>43</v>
      </c>
      <c r="P20" s="23">
        <f>1/2</f>
        <v>0.5</v>
      </c>
      <c r="Q20" s="18" t="s">
        <v>57</v>
      </c>
      <c r="R20" s="23" t="s">
        <v>57</v>
      </c>
    </row>
    <row r="21" spans="2:18" ht="22.8" customHeight="1" x14ac:dyDescent="0.25"/>
    <row r="22" spans="2:18" ht="19.2" customHeight="1" x14ac:dyDescent="0.25">
      <c r="B22" s="12" t="s">
        <v>44</v>
      </c>
      <c r="C22" s="13"/>
      <c r="D22" s="14"/>
      <c r="E22" s="18" t="s">
        <v>45</v>
      </c>
      <c r="F22" s="18" t="s">
        <v>46</v>
      </c>
      <c r="G22" s="18" t="s">
        <v>47</v>
      </c>
      <c r="H22" s="18" t="s">
        <v>48</v>
      </c>
      <c r="I22" s="18" t="s">
        <v>49</v>
      </c>
      <c r="J22" s="18" t="s">
        <v>50</v>
      </c>
    </row>
    <row r="23" spans="2:18" ht="19.2" customHeight="1" x14ac:dyDescent="0.25">
      <c r="B23" s="15" t="s">
        <v>36</v>
      </c>
      <c r="C23" s="12" t="s">
        <v>29</v>
      </c>
      <c r="D23" s="14"/>
      <c r="E23" s="2">
        <f>E3</f>
        <v>0.12</v>
      </c>
      <c r="F23" s="2">
        <f t="shared" ref="F23:J23" si="2">F3</f>
        <v>0.18</v>
      </c>
      <c r="G23" s="2">
        <f t="shared" si="2"/>
        <v>0.17</v>
      </c>
      <c r="H23" s="2">
        <f t="shared" si="2"/>
        <v>0.23</v>
      </c>
      <c r="I23" s="2">
        <f t="shared" si="2"/>
        <v>0.13</v>
      </c>
      <c r="J23" s="2">
        <f t="shared" si="2"/>
        <v>0.17</v>
      </c>
      <c r="K23" s="29"/>
    </row>
    <row r="24" spans="2:18" ht="19.2" customHeight="1" x14ac:dyDescent="0.25">
      <c r="B24" s="16"/>
      <c r="C24" s="12" t="s">
        <v>30</v>
      </c>
      <c r="D24" s="14"/>
      <c r="E24" s="2">
        <f t="shared" ref="E24:J24" si="3">E4</f>
        <v>0.15</v>
      </c>
      <c r="F24" s="2">
        <f t="shared" si="3"/>
        <v>0.13</v>
      </c>
      <c r="G24" s="2">
        <f t="shared" si="3"/>
        <v>0.18</v>
      </c>
      <c r="H24" s="2">
        <f t="shared" si="3"/>
        <v>0.25</v>
      </c>
      <c r="I24" s="2">
        <f t="shared" si="3"/>
        <v>0.12</v>
      </c>
      <c r="J24" s="2">
        <f t="shared" si="3"/>
        <v>0.17</v>
      </c>
      <c r="K24" s="29"/>
    </row>
    <row r="25" spans="2:18" ht="19.2" customHeight="1" x14ac:dyDescent="0.25">
      <c r="B25" s="16"/>
      <c r="C25" s="12" t="s">
        <v>31</v>
      </c>
      <c r="D25" s="14"/>
      <c r="E25" s="2">
        <f t="shared" ref="E25:J25" si="4">E5</f>
        <v>0.14000000000000001</v>
      </c>
      <c r="F25" s="2">
        <f t="shared" si="4"/>
        <v>0.13</v>
      </c>
      <c r="G25" s="2">
        <f t="shared" si="4"/>
        <v>0.16</v>
      </c>
      <c r="H25" s="2">
        <f t="shared" si="4"/>
        <v>0.18</v>
      </c>
      <c r="I25" s="2">
        <f t="shared" si="4"/>
        <v>0.2</v>
      </c>
      <c r="J25" s="2">
        <f t="shared" si="4"/>
        <v>0.19</v>
      </c>
      <c r="K25" s="29"/>
    </row>
    <row r="26" spans="2:18" ht="19.2" customHeight="1" x14ac:dyDescent="0.25">
      <c r="B26" s="16"/>
      <c r="C26" s="12" t="s">
        <v>32</v>
      </c>
      <c r="D26" s="14"/>
      <c r="E26" s="2">
        <f t="shared" ref="E26:J26" si="5">E6</f>
        <v>0.12</v>
      </c>
      <c r="F26" s="2">
        <f t="shared" si="5"/>
        <v>0.14000000000000001</v>
      </c>
      <c r="G26" s="2">
        <f t="shared" si="5"/>
        <v>0.15</v>
      </c>
      <c r="H26" s="2">
        <f t="shared" si="5"/>
        <v>0.17</v>
      </c>
      <c r="I26" s="2">
        <f t="shared" si="5"/>
        <v>0.19</v>
      </c>
      <c r="J26" s="2">
        <f t="shared" si="5"/>
        <v>0.23</v>
      </c>
      <c r="K26" s="29"/>
    </row>
    <row r="27" spans="2:18" ht="19.2" customHeight="1" x14ac:dyDescent="0.25">
      <c r="B27" s="17"/>
      <c r="C27" s="12" t="s">
        <v>33</v>
      </c>
      <c r="D27" s="14"/>
      <c r="E27" s="2">
        <f t="shared" ref="E27:J27" si="6">E7</f>
        <v>0.16</v>
      </c>
      <c r="F27" s="2">
        <f t="shared" si="6"/>
        <v>0.12</v>
      </c>
      <c r="G27" s="2">
        <f t="shared" si="6"/>
        <v>0.13</v>
      </c>
      <c r="H27" s="2">
        <f t="shared" si="6"/>
        <v>0.25</v>
      </c>
      <c r="I27" s="2">
        <f t="shared" si="6"/>
        <v>0.18</v>
      </c>
      <c r="J27" s="2">
        <f t="shared" si="6"/>
        <v>0.16</v>
      </c>
      <c r="K27" s="29"/>
    </row>
    <row r="28" spans="2:18" ht="19.2" customHeight="1" x14ac:dyDescent="0.25">
      <c r="B28" s="15" t="s">
        <v>37</v>
      </c>
      <c r="C28" s="12" t="s">
        <v>34</v>
      </c>
      <c r="D28" s="14"/>
      <c r="E28" s="2">
        <f t="shared" ref="E28:J28" si="7">E8</f>
        <v>0.13</v>
      </c>
      <c r="F28" s="2">
        <f t="shared" si="7"/>
        <v>0.15</v>
      </c>
      <c r="G28" s="2">
        <f t="shared" si="7"/>
        <v>0.14000000000000001</v>
      </c>
      <c r="H28" s="2">
        <f t="shared" si="7"/>
        <v>0.18</v>
      </c>
      <c r="I28" s="2">
        <f t="shared" si="7"/>
        <v>0.16</v>
      </c>
      <c r="J28" s="2">
        <f t="shared" si="7"/>
        <v>0.24</v>
      </c>
      <c r="K28" s="29"/>
    </row>
    <row r="29" spans="2:18" ht="19.2" customHeight="1" x14ac:dyDescent="0.25">
      <c r="B29" s="16"/>
      <c r="C29" s="12" t="s">
        <v>35</v>
      </c>
      <c r="D29" s="14"/>
      <c r="E29" s="2">
        <f t="shared" ref="E29:J29" si="8">E9</f>
        <v>0.12</v>
      </c>
      <c r="F29" s="2">
        <f t="shared" si="8"/>
        <v>0.16</v>
      </c>
      <c r="G29" s="2">
        <f t="shared" si="8"/>
        <v>0.13</v>
      </c>
      <c r="H29" s="2">
        <f t="shared" si="8"/>
        <v>0.17</v>
      </c>
      <c r="I29" s="2">
        <f t="shared" si="8"/>
        <v>0.19</v>
      </c>
      <c r="J29" s="2">
        <f t="shared" si="8"/>
        <v>0.23</v>
      </c>
      <c r="K29" s="29"/>
    </row>
    <row r="30" spans="2:18" ht="19.2" customHeight="1" x14ac:dyDescent="0.25">
      <c r="B30" s="16"/>
      <c r="C30" s="12" t="s">
        <v>38</v>
      </c>
      <c r="D30" s="14"/>
      <c r="E30" s="6">
        <f>E10*$R$10+E11*$R$11+E12*$R$12+E13*$R$13+E14*$R$14+E15*$R$15+E16*$R$16</f>
        <v>0.19</v>
      </c>
      <c r="F30" s="6">
        <f>F10*$R$10+F11*$R$11+F12*$R$12+F13*$R$13+F14*$R$14+F15*$R$15+F16*$R$16</f>
        <v>0.15428571428571428</v>
      </c>
      <c r="G30" s="6">
        <f>G10*$R$10+G11*$R$11+G12*$R$12+G13*$R$13+G14*$R$14+G15*$R$15+G16*$R$16</f>
        <v>0.15857142857142856</v>
      </c>
      <c r="H30" s="6">
        <f>H10*$R$10+H11*$R$11+H12*$R$12+H13*$R$13+H14*$R$14+H15*$R$15+H16*$R$16</f>
        <v>0.13999999999999999</v>
      </c>
      <c r="I30" s="6">
        <f>I10*$R$10+I11*$R$11+I12*$R$12+I13*$R$13+I14*$R$14+I15*$R$15+I16*$R$16</f>
        <v>0.15999999999999998</v>
      </c>
      <c r="J30" s="6">
        <f>J10*$R$10+J11*$R$11+J12*$R$12+J13*$R$13+J14*$R$14+J15*$R$15+J16*$R$16</f>
        <v>0.19714285714285712</v>
      </c>
      <c r="K30" s="29"/>
      <c r="O30" s="32"/>
    </row>
    <row r="31" spans="2:18" ht="19.2" customHeight="1" x14ac:dyDescent="0.25">
      <c r="B31" s="16"/>
      <c r="C31" s="12" t="s">
        <v>39</v>
      </c>
      <c r="D31" s="14"/>
      <c r="E31" s="2">
        <f>E17</f>
        <v>0.14000000000000001</v>
      </c>
      <c r="F31" s="2">
        <f t="shared" ref="F31:J31" si="9">F17</f>
        <v>0.13</v>
      </c>
      <c r="G31" s="2">
        <f t="shared" si="9"/>
        <v>0.15</v>
      </c>
      <c r="H31" s="2">
        <f t="shared" si="9"/>
        <v>0.16</v>
      </c>
      <c r="I31" s="2">
        <f t="shared" si="9"/>
        <v>0.18</v>
      </c>
      <c r="J31" s="2">
        <f t="shared" si="9"/>
        <v>0.24</v>
      </c>
      <c r="K31" s="29"/>
    </row>
    <row r="32" spans="2:18" ht="19.2" customHeight="1" x14ac:dyDescent="0.25">
      <c r="B32" s="17"/>
      <c r="C32" s="12" t="s">
        <v>40</v>
      </c>
      <c r="D32" s="14"/>
      <c r="E32" s="2">
        <f t="shared" ref="E32:J32" si="10">E18</f>
        <v>0.16</v>
      </c>
      <c r="F32" s="2">
        <f t="shared" si="10"/>
        <v>0.15</v>
      </c>
      <c r="G32" s="2">
        <f t="shared" si="10"/>
        <v>0.15</v>
      </c>
      <c r="H32" s="2">
        <f t="shared" si="10"/>
        <v>0.17</v>
      </c>
      <c r="I32" s="2">
        <f t="shared" si="10"/>
        <v>0.18</v>
      </c>
      <c r="J32" s="2">
        <f t="shared" si="10"/>
        <v>0.19</v>
      </c>
      <c r="K32" s="29"/>
    </row>
    <row r="33" spans="2:11" ht="19.2" customHeight="1" x14ac:dyDescent="0.25">
      <c r="B33" s="15" t="s">
        <v>41</v>
      </c>
      <c r="C33" s="12" t="s">
        <v>42</v>
      </c>
      <c r="D33" s="14"/>
      <c r="E33" s="2">
        <f t="shared" ref="E33:J33" si="11">E19</f>
        <v>0.15</v>
      </c>
      <c r="F33" s="2">
        <f t="shared" si="11"/>
        <v>0.14000000000000001</v>
      </c>
      <c r="G33" s="2">
        <f t="shared" si="11"/>
        <v>0.13</v>
      </c>
      <c r="H33" s="2">
        <f t="shared" si="11"/>
        <v>0.18</v>
      </c>
      <c r="I33" s="2">
        <f t="shared" si="11"/>
        <v>0.14000000000000001</v>
      </c>
      <c r="J33" s="2">
        <f t="shared" si="11"/>
        <v>0.26</v>
      </c>
      <c r="K33" s="29"/>
    </row>
    <row r="34" spans="2:11" ht="19.2" customHeight="1" x14ac:dyDescent="0.25">
      <c r="B34" s="17"/>
      <c r="C34" s="12" t="s">
        <v>43</v>
      </c>
      <c r="D34" s="14"/>
      <c r="E34" s="2">
        <f t="shared" ref="E34:J34" si="12">E20</f>
        <v>0.16</v>
      </c>
      <c r="F34" s="2">
        <f t="shared" si="12"/>
        <v>0.15</v>
      </c>
      <c r="G34" s="2">
        <f t="shared" si="12"/>
        <v>0.18</v>
      </c>
      <c r="H34" s="2">
        <f t="shared" si="12"/>
        <v>0.14000000000000001</v>
      </c>
      <c r="I34" s="2">
        <f t="shared" si="12"/>
        <v>0.16</v>
      </c>
      <c r="J34" s="2">
        <f t="shared" si="12"/>
        <v>0.21</v>
      </c>
      <c r="K34" s="29"/>
    </row>
    <row r="35" spans="2:11" ht="19.2" customHeight="1" x14ac:dyDescent="0.25">
      <c r="E35" s="30"/>
      <c r="F35" s="30"/>
      <c r="G35" s="30"/>
      <c r="H35" s="30"/>
      <c r="I35" s="30"/>
      <c r="J35" s="30"/>
      <c r="K35" s="29"/>
    </row>
    <row r="36" spans="2:11" ht="21" customHeight="1" x14ac:dyDescent="0.25">
      <c r="B36" s="12" t="s">
        <v>44</v>
      </c>
      <c r="C36" s="13"/>
      <c r="D36" s="14"/>
      <c r="E36" s="18" t="s">
        <v>45</v>
      </c>
      <c r="F36" s="18" t="s">
        <v>46</v>
      </c>
      <c r="G36" s="18" t="s">
        <v>47</v>
      </c>
      <c r="H36" s="18" t="s">
        <v>48</v>
      </c>
      <c r="I36" s="18" t="s">
        <v>49</v>
      </c>
      <c r="J36" s="18" t="s">
        <v>50</v>
      </c>
    </row>
    <row r="37" spans="2:11" ht="21" customHeight="1" x14ac:dyDescent="0.25">
      <c r="B37" s="19" t="s">
        <v>36</v>
      </c>
      <c r="C37" s="20"/>
      <c r="D37" s="21"/>
      <c r="E37" s="2">
        <f>E23*$P$3+E24*$P$4+E25*$P$5+E26*$P$6+E27*$P$7</f>
        <v>0.13800000000000001</v>
      </c>
      <c r="F37" s="2">
        <f>F23*$P$3+F24*$P$4+F25*$P$5+F26*$P$6+F27*$P$7</f>
        <v>0.13999999999999999</v>
      </c>
      <c r="G37" s="2">
        <f>G23*$P$3+G24*$P$4+G25*$P$5+G26*$P$6+G27*$P$7</f>
        <v>0.158</v>
      </c>
      <c r="H37" s="2">
        <f>H23*$P$3+H24*$P$4+H25*$P$5+H26*$P$6+H27*$P$7</f>
        <v>0.21600000000000003</v>
      </c>
      <c r="I37" s="2">
        <f>I23*$P$3+I24*$P$4+I25*$P$5+I26*$P$6+I27*$P$7</f>
        <v>0.16400000000000001</v>
      </c>
      <c r="J37" s="2">
        <f>J23*$P$3+J24*$P$4+J25*$P$5+J26*$P$6+J27*$P$7</f>
        <v>0.18400000000000002</v>
      </c>
      <c r="K37" s="29"/>
    </row>
    <row r="38" spans="2:11" ht="21" customHeight="1" x14ac:dyDescent="0.25">
      <c r="B38" s="19" t="s">
        <v>37</v>
      </c>
      <c r="C38" s="20"/>
      <c r="D38" s="21"/>
      <c r="E38" s="6">
        <f>E28*$P$8+E29*$P$9+E30*$P$10+E31*$P$17+E32*$P$18</f>
        <v>0.14800000000000002</v>
      </c>
      <c r="F38" s="6">
        <f>F28*$P$8+F29*$P$9+F30*$P$10+F31*$P$17+F32*$P$18</f>
        <v>0.14885714285714285</v>
      </c>
      <c r="G38" s="6">
        <f>G28*$P$8+G29*$P$9+G30*$P$10+G31*$P$17+G32*$P$18</f>
        <v>0.14571428571428571</v>
      </c>
      <c r="H38" s="6">
        <f>H28*$P$8+H29*$P$9+H30*$P$10+H31*$P$17+H32*$P$18</f>
        <v>0.16400000000000001</v>
      </c>
      <c r="I38" s="6">
        <f>I28*$P$8+I29*$P$9+I30*$P$10+I31*$P$17+I32*$P$18</f>
        <v>0.17400000000000002</v>
      </c>
      <c r="J38" s="6">
        <f>J28*$P$8+J29*$P$9+J30*$P$10+J31*$P$17+J32*$P$18</f>
        <v>0.21942857142857145</v>
      </c>
      <c r="K38" s="29"/>
    </row>
    <row r="39" spans="2:11" ht="21" customHeight="1" x14ac:dyDescent="0.25">
      <c r="B39" s="22" t="s">
        <v>41</v>
      </c>
      <c r="C39" s="22"/>
      <c r="D39" s="22"/>
      <c r="E39" s="6">
        <f>E33*$P$19+E34*$P$20</f>
        <v>0.155</v>
      </c>
      <c r="F39" s="6">
        <f t="shared" ref="F39:J39" si="13">F33*$P$19+F34*$P$20</f>
        <v>0.14500000000000002</v>
      </c>
      <c r="G39" s="6">
        <f t="shared" si="13"/>
        <v>0.155</v>
      </c>
      <c r="H39" s="6">
        <f t="shared" si="13"/>
        <v>0.16</v>
      </c>
      <c r="I39" s="6">
        <f t="shared" si="13"/>
        <v>0.15000000000000002</v>
      </c>
      <c r="J39" s="6">
        <f t="shared" si="13"/>
        <v>0.23499999999999999</v>
      </c>
      <c r="K39" s="29"/>
    </row>
    <row r="40" spans="2:11" ht="21" customHeight="1" x14ac:dyDescent="0.25">
      <c r="E40" s="31"/>
      <c r="F40" s="31"/>
      <c r="G40" s="31"/>
      <c r="H40" s="31"/>
      <c r="I40" s="31"/>
      <c r="J40" s="31"/>
      <c r="K40" s="29"/>
    </row>
    <row r="41" spans="2:11" ht="21" customHeight="1" x14ac:dyDescent="0.25">
      <c r="B41" s="12" t="s">
        <v>44</v>
      </c>
      <c r="C41" s="13"/>
      <c r="D41" s="14"/>
      <c r="E41" s="18" t="s">
        <v>45</v>
      </c>
      <c r="F41" s="18" t="s">
        <v>46</v>
      </c>
      <c r="G41" s="18" t="s">
        <v>47</v>
      </c>
      <c r="H41" s="18" t="s">
        <v>48</v>
      </c>
      <c r="I41" s="18" t="s">
        <v>49</v>
      </c>
      <c r="J41" s="18" t="s">
        <v>50</v>
      </c>
    </row>
    <row r="42" spans="2:11" ht="21" customHeight="1" x14ac:dyDescent="0.25">
      <c r="B42" s="22" t="s">
        <v>58</v>
      </c>
      <c r="C42" s="22"/>
      <c r="D42" s="22"/>
      <c r="E42" s="6">
        <f>E37*$N$3+E38*$N$8+E39*$N$19</f>
        <v>0.14700000000000002</v>
      </c>
      <c r="F42" s="6">
        <f t="shared" ref="F42:J42" si="14">F37*$N$3+F38*$N$8+F39*$N$19</f>
        <v>0.14461904761904762</v>
      </c>
      <c r="G42" s="6">
        <f t="shared" si="14"/>
        <v>0.1529047619047619</v>
      </c>
      <c r="H42" s="6">
        <f t="shared" si="14"/>
        <v>0.18</v>
      </c>
      <c r="I42" s="6">
        <f t="shared" si="14"/>
        <v>0.16266666666666668</v>
      </c>
      <c r="J42" s="6">
        <f t="shared" si="14"/>
        <v>0.21280952380952378</v>
      </c>
      <c r="K42" s="29"/>
    </row>
  </sheetData>
  <mergeCells count="46">
    <mergeCell ref="P10:P16"/>
    <mergeCell ref="B41:D41"/>
    <mergeCell ref="B42:D42"/>
    <mergeCell ref="M19:M20"/>
    <mergeCell ref="N3:N7"/>
    <mergeCell ref="N8:N18"/>
    <mergeCell ref="N19:N20"/>
    <mergeCell ref="M8:M18"/>
    <mergeCell ref="O10:O16"/>
    <mergeCell ref="M3:M7"/>
    <mergeCell ref="B37:D37"/>
    <mergeCell ref="B38:D38"/>
    <mergeCell ref="B39:D39"/>
    <mergeCell ref="C8:D8"/>
    <mergeCell ref="B36:D36"/>
    <mergeCell ref="B19:B20"/>
    <mergeCell ref="C19:D19"/>
    <mergeCell ref="C20:D20"/>
    <mergeCell ref="B2:D2"/>
    <mergeCell ref="B22:D22"/>
    <mergeCell ref="C9:D9"/>
    <mergeCell ref="B3:B7"/>
    <mergeCell ref="B8:B18"/>
    <mergeCell ref="C10:C16"/>
    <mergeCell ref="C17:D17"/>
    <mergeCell ref="C18:D18"/>
    <mergeCell ref="C3:D3"/>
    <mergeCell ref="C4:D4"/>
    <mergeCell ref="C5:D5"/>
    <mergeCell ref="C6:D6"/>
    <mergeCell ref="C7:D7"/>
    <mergeCell ref="B33:B34"/>
    <mergeCell ref="C33:D33"/>
    <mergeCell ref="C34:D34"/>
    <mergeCell ref="C30:D30"/>
    <mergeCell ref="C27:D27"/>
    <mergeCell ref="B28:B32"/>
    <mergeCell ref="C28:D28"/>
    <mergeCell ref="C29:D29"/>
    <mergeCell ref="C31:D31"/>
    <mergeCell ref="C32:D32"/>
    <mergeCell ref="B23:B27"/>
    <mergeCell ref="C23:D23"/>
    <mergeCell ref="C24:D24"/>
    <mergeCell ref="C25:D25"/>
    <mergeCell ref="C26:D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模糊综合评价</vt:lpstr>
      <vt:lpstr>多层次模糊综合评价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寸 三</cp:lastModifiedBy>
  <dcterms:created xsi:type="dcterms:W3CDTF">2015-06-05T18:19:34Z</dcterms:created>
  <dcterms:modified xsi:type="dcterms:W3CDTF">2025-07-24T07:10:01Z</dcterms:modified>
</cp:coreProperties>
</file>