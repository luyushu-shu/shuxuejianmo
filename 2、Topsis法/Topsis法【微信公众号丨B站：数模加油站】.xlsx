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01-工作\0. 科思通途\3. 公司基本工作\2. 竞赛\01. 数学建模\1. 数学建模视频\01-数学建模算法精讲\01-韩\02-评价类-Topsis法\"/>
    </mc:Choice>
  </mc:AlternateContent>
  <xr:revisionPtr revIDLastSave="0" documentId="13_ncr:1_{04273013-48CB-4276-8A90-E590C84BEC32}" xr6:coauthVersionLast="47" xr6:coauthVersionMax="47" xr10:uidLastSave="{00000000-0000-0000-0000-000000000000}"/>
  <bookViews>
    <workbookView xWindow="7896" yWindow="612" windowWidth="22236" windowHeight="14088" xr2:uid="{00000000-000D-0000-FFFF-FFFF00000000}"/>
  </bookViews>
  <sheets>
    <sheet name="Topsis法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4" l="1"/>
  <c r="D42" i="4"/>
  <c r="D41" i="4"/>
  <c r="D40" i="4"/>
  <c r="C43" i="4"/>
  <c r="C42" i="4"/>
  <c r="C41" i="4"/>
  <c r="C40" i="4"/>
  <c r="F19" i="4"/>
  <c r="F8" i="4"/>
  <c r="C19" i="4"/>
  <c r="C18" i="4"/>
  <c r="C17" i="4"/>
  <c r="C16" i="4"/>
  <c r="F9" i="4"/>
  <c r="E9" i="4"/>
  <c r="D9" i="4"/>
  <c r="C9" i="4"/>
  <c r="E8" i="4"/>
  <c r="D8" i="4"/>
  <c r="C8" i="4"/>
  <c r="F11" i="4" l="1"/>
  <c r="F18" i="4" s="1"/>
  <c r="F17" i="4"/>
  <c r="F16" i="4"/>
  <c r="C20" i="4"/>
  <c r="C10" i="4"/>
  <c r="E11" i="4"/>
  <c r="E16" i="4" s="1"/>
  <c r="F10" i="4"/>
  <c r="D18" i="4"/>
  <c r="D10" i="4"/>
  <c r="E10" i="4"/>
  <c r="D16" i="4"/>
  <c r="D19" i="4"/>
  <c r="D17" i="4"/>
  <c r="D20" i="4" l="1"/>
  <c r="C28" i="4"/>
  <c r="C27" i="4"/>
  <c r="C26" i="4"/>
  <c r="C25" i="4"/>
  <c r="E19" i="4"/>
  <c r="E18" i="4"/>
  <c r="E17" i="4"/>
  <c r="E20" i="4" l="1"/>
  <c r="C31" i="4"/>
  <c r="C32" i="4"/>
  <c r="E25" i="4"/>
  <c r="E28" i="4"/>
  <c r="E27" i="4"/>
  <c r="D27" i="4"/>
  <c r="E26" i="4"/>
  <c r="D28" i="4"/>
  <c r="D25" i="4"/>
  <c r="F20" i="4"/>
  <c r="D26" i="4"/>
  <c r="D31" i="4" l="1"/>
  <c r="D32" i="4"/>
  <c r="E32" i="4"/>
  <c r="E31" i="4"/>
  <c r="F28" i="4"/>
  <c r="F27" i="4"/>
  <c r="F26" i="4"/>
  <c r="F25" i="4"/>
  <c r="F32" i="4" l="1"/>
  <c r="F31" i="4"/>
  <c r="C48" i="4" l="1"/>
  <c r="C50" i="4" l="1"/>
  <c r="C47" i="4"/>
  <c r="C49" i="4"/>
  <c r="D48" i="4" s="1"/>
  <c r="D50" i="4" l="1"/>
  <c r="D47" i="4"/>
  <c r="D49" i="4"/>
</calcChain>
</file>

<file path=xl/sharedStrings.xml><?xml version="1.0" encoding="utf-8"?>
<sst xmlns="http://schemas.openxmlformats.org/spreadsheetml/2006/main" count="79" uniqueCount="46">
  <si>
    <t>高校综合评价（选校决策）</t>
    <phoneticPr fontId="1" type="noConversion"/>
  </si>
  <si>
    <t>学校A</t>
    <phoneticPr fontId="1" type="noConversion"/>
  </si>
  <si>
    <t>学校B</t>
    <phoneticPr fontId="1" type="noConversion"/>
  </si>
  <si>
    <t>学校C</t>
    <phoneticPr fontId="1" type="noConversion"/>
  </si>
  <si>
    <t>学校D</t>
    <phoneticPr fontId="1" type="noConversion"/>
  </si>
  <si>
    <t>师资
（分）</t>
    <phoneticPr fontId="1" type="noConversion"/>
  </si>
  <si>
    <t>学费</t>
    <phoneticPr fontId="1" type="noConversion"/>
  </si>
  <si>
    <t>学费
（万元）</t>
    <phoneticPr fontId="1" type="noConversion"/>
  </si>
  <si>
    <t>班级人数
（人）</t>
    <phoneticPr fontId="1" type="noConversion"/>
  </si>
  <si>
    <t>年均气温
（℃）</t>
    <phoneticPr fontId="1" type="noConversion"/>
  </si>
  <si>
    <t>极大型指标</t>
    <phoneticPr fontId="1" type="noConversion"/>
  </si>
  <si>
    <t>极小型指标</t>
    <phoneticPr fontId="1" type="noConversion"/>
  </si>
  <si>
    <t>师资</t>
    <phoneticPr fontId="1" type="noConversion"/>
  </si>
  <si>
    <t>中间型指标</t>
    <phoneticPr fontId="1" type="noConversion"/>
  </si>
  <si>
    <t>区间型指标</t>
    <phoneticPr fontId="1" type="noConversion"/>
  </si>
  <si>
    <t>班级人数（理想值40人）</t>
    <phoneticPr fontId="1" type="noConversion"/>
  </si>
  <si>
    <t>第一步</t>
    <phoneticPr fontId="1" type="noConversion"/>
  </si>
  <si>
    <t>矩阵正向化</t>
    <phoneticPr fontId="1" type="noConversion"/>
  </si>
  <si>
    <t>max</t>
    <phoneticPr fontId="1" type="noConversion"/>
  </si>
  <si>
    <t>min</t>
    <phoneticPr fontId="1" type="noConversion"/>
  </si>
  <si>
    <t>max-min</t>
    <phoneticPr fontId="1" type="noConversion"/>
  </si>
  <si>
    <t>/</t>
    <phoneticPr fontId="1" type="noConversion"/>
  </si>
  <si>
    <t>M</t>
    <phoneticPr fontId="1" type="noConversion"/>
  </si>
  <si>
    <t>第二步</t>
    <phoneticPr fontId="1" type="noConversion"/>
  </si>
  <si>
    <t>矩阵标准化</t>
    <phoneticPr fontId="1" type="noConversion"/>
  </si>
  <si>
    <t>Z</t>
    <phoneticPr fontId="1" type="noConversion"/>
  </si>
  <si>
    <t>第三步</t>
    <phoneticPr fontId="1" type="noConversion"/>
  </si>
  <si>
    <t>找出最优解、最劣解</t>
    <phoneticPr fontId="1" type="noConversion"/>
  </si>
  <si>
    <t>理想最优解</t>
    <phoneticPr fontId="1" type="noConversion"/>
  </si>
  <si>
    <t xml:space="preserve">           指标
方案</t>
    <phoneticPr fontId="1" type="noConversion"/>
  </si>
  <si>
    <t>理想最劣解</t>
    <phoneticPr fontId="1" type="noConversion"/>
  </si>
  <si>
    <t>第四步</t>
    <phoneticPr fontId="1" type="noConversion"/>
  </si>
  <si>
    <t>定权重</t>
    <phoneticPr fontId="1" type="noConversion"/>
  </si>
  <si>
    <t xml:space="preserve">           指标
权重</t>
    <phoneticPr fontId="1" type="noConversion"/>
  </si>
  <si>
    <t>w</t>
    <phoneticPr fontId="1" type="noConversion"/>
  </si>
  <si>
    <t>可用层次分析法、熵权法、Delphi法、对数最小二乘法等</t>
    <phoneticPr fontId="1" type="noConversion"/>
  </si>
  <si>
    <t>第五步</t>
    <phoneticPr fontId="1" type="noConversion"/>
  </si>
  <si>
    <t>计算各方案与最优解、最劣解的距离</t>
    <phoneticPr fontId="1" type="noConversion"/>
  </si>
  <si>
    <t>从指标中选出最大值，最小值</t>
    <phoneticPr fontId="1" type="noConversion"/>
  </si>
  <si>
    <t>Z+</t>
    <phoneticPr fontId="1" type="noConversion"/>
  </si>
  <si>
    <t>Z-</t>
    <phoneticPr fontId="1" type="noConversion"/>
  </si>
  <si>
    <t>第六步</t>
    <phoneticPr fontId="1" type="noConversion"/>
  </si>
  <si>
    <t>计算得分</t>
    <phoneticPr fontId="1" type="noConversion"/>
  </si>
  <si>
    <t>S</t>
    <phoneticPr fontId="1" type="noConversion"/>
  </si>
  <si>
    <t>排名</t>
    <phoneticPr fontId="1" type="noConversion"/>
  </si>
  <si>
    <t>年均气温（理想范围16℃~18℃）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</si>
</sst>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.0_ "/>
    <numFmt numFmtId="178" formatCode="0_ "/>
    <numFmt numFmtId="179" formatCode="0.00000000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177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12895</xdr:colOff>
      <xdr:row>12</xdr:row>
      <xdr:rowOff>29196</xdr:rowOff>
    </xdr:from>
    <xdr:to>
      <xdr:col>10</xdr:col>
      <xdr:colOff>400878</xdr:colOff>
      <xdr:row>20</xdr:row>
      <xdr:rowOff>16018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D9D0808-95EB-4C85-D864-D34E0AF2B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6315" y="3145776"/>
          <a:ext cx="4620065" cy="2097562"/>
        </a:xfrm>
        <a:prstGeom prst="rect">
          <a:avLst/>
        </a:prstGeom>
      </xdr:spPr>
    </xdr:pic>
    <xdr:clientData/>
  </xdr:twoCellAnchor>
  <xdr:twoCellAnchor>
    <xdr:from>
      <xdr:col>7</xdr:col>
      <xdr:colOff>4689</xdr:colOff>
      <xdr:row>23</xdr:row>
      <xdr:rowOff>331304</xdr:rowOff>
    </xdr:from>
    <xdr:to>
      <xdr:col>8</xdr:col>
      <xdr:colOff>579121</xdr:colOff>
      <xdr:row>26</xdr:row>
      <xdr:rowOff>103149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FD232CA8-D35F-5451-CE02-9D5B7C34F961}"/>
                </a:ext>
              </a:extLst>
            </xdr:cNvPr>
            <xdr:cNvSpPr txBox="1"/>
          </xdr:nvSpPr>
          <xdr:spPr>
            <a:xfrm>
              <a:off x="4503802" y="6321287"/>
              <a:ext cx="1382815" cy="62661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𝑧</m:t>
                        </m:r>
                      </m:e>
                      <m:sub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</m:sSub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𝑖𝑗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nary>
                              <m:naryPr>
                                <m:chr m:val="∑"/>
                                <m:ctrlP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p>
                              <m:e>
                                <m:sSubSup>
                                  <m:sSubSupPr>
                                    <m:ctrlP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  <m:t>𝑖𝑗</m:t>
                                    </m:r>
                                  </m:sub>
                                  <m:sup>
                                    <m: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nary>
                          </m:e>
                        </m:rad>
                      </m:den>
                    </m:f>
                  </m:oMath>
                </m:oMathPara>
              </a14:m>
              <a:endParaRPr lang="zh-CN" altLang="en-US" sz="1400"/>
            </a:p>
          </xdr:txBody>
        </xdr:sp>
      </mc:Choice>
      <mc:Fallback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FD232CA8-D35F-5451-CE02-9D5B7C34F961}"/>
                </a:ext>
              </a:extLst>
            </xdr:cNvPr>
            <xdr:cNvSpPr txBox="1"/>
          </xdr:nvSpPr>
          <xdr:spPr>
            <a:xfrm>
              <a:off x="4503802" y="6321287"/>
              <a:ext cx="1382815" cy="62661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zh-CN" sz="1400" b="0" i="0">
                  <a:latin typeface="Cambria Math" panose="02040503050406030204" pitchFamily="18" charset="0"/>
                </a:rPr>
                <a:t>𝑧_𝑖𝑗=𝑥_𝑖𝑗/√(∑_(𝑖=1)^𝑛▒𝑥_𝑖𝑗^2 )</a:t>
              </a:r>
              <a:endParaRPr lang="zh-CN" altLang="en-US" sz="1400"/>
            </a:p>
          </xdr:txBody>
        </xdr:sp>
      </mc:Fallback>
    </mc:AlternateContent>
    <xdr:clientData/>
  </xdr:twoCellAnchor>
  <xdr:twoCellAnchor>
    <xdr:from>
      <xdr:col>7</xdr:col>
      <xdr:colOff>16999</xdr:colOff>
      <xdr:row>37</xdr:row>
      <xdr:rowOff>15827</xdr:rowOff>
    </xdr:from>
    <xdr:to>
      <xdr:col>8</xdr:col>
      <xdr:colOff>1417906</xdr:colOff>
      <xdr:row>43</xdr:row>
      <xdr:rowOff>190500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本框 7">
              <a:extLst>
                <a:ext uri="{FF2B5EF4-FFF2-40B4-BE49-F238E27FC236}">
                  <a16:creationId xmlns:a16="http://schemas.microsoft.com/office/drawing/2014/main" id="{A0699FAE-7131-853B-5055-C43C9A644DF1}"/>
                </a:ext>
              </a:extLst>
            </xdr:cNvPr>
            <xdr:cNvSpPr txBox="1"/>
          </xdr:nvSpPr>
          <xdr:spPr>
            <a:xfrm>
              <a:off x="4520419" y="9716087"/>
              <a:ext cx="2208627" cy="173677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just" defTabSz="914400" rtl="0" eaLnBrk="1" latinLnBrk="0" hangingPunct="1">
                <a:lnSpc>
                  <a:spcPct val="200000"/>
                </a:lnSpc>
                <a:defRPr sz="1800" kern="1200">
                  <a:solidFill>
                    <a:srgbClr val="414142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bSup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  <m:t>𝑤</m:t>
                                    </m:r>
                                  </m:e>
                                  <m:sub>
                                    <m: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  <m:t>𝑗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Sup>
                                      <m:sSubSupPr>
                                        <m:ctrlPr>
                                          <a:rPr lang="en-US" altLang="zh-CN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n-US" altLang="zh-CN" sz="1400" b="0" i="1">
                                            <a:latin typeface="Cambria Math" panose="02040503050406030204" pitchFamily="18" charset="0"/>
                                          </a:rPr>
                                          <m:t>𝑍</m:t>
                                        </m:r>
                                      </m:e>
                                      <m:sub>
                                        <m:r>
                                          <a:rPr lang="en-US" altLang="zh-CN" sz="1400" b="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  <m:sup>
                                        <m:r>
                                          <a:rPr lang="en-US" altLang="zh-CN" sz="1400" b="0" i="1">
                                            <a:latin typeface="Cambria Math" panose="02040503050406030204" pitchFamily="18" charset="0"/>
                                          </a:rPr>
                                          <m:t>+</m:t>
                                        </m:r>
                                      </m:sup>
                                    </m:sSubSup>
                                    <m: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altLang="zh-CN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altLang="zh-CN" sz="1400" b="0" i="1">
                                            <a:latin typeface="Cambria Math" panose="02040503050406030204" pitchFamily="18" charset="0"/>
                                          </a:rPr>
                                          <m:t>𝑧</m:t>
                                        </m:r>
                                      </m:e>
                                      <m:sub>
                                        <m:r>
                                          <a:rPr lang="en-US" altLang="zh-CN" sz="1400" b="0" i="1">
                                            <a:latin typeface="Cambria Math" panose="02040503050406030204" pitchFamily="18" charset="0"/>
                                          </a:rPr>
                                          <m:t>𝑖𝑗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  <m:sup>
                                <m: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n-US" altLang="zh-CN" sz="1400"/>
            </a:p>
            <a:p>
              <a:pPr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4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CN" sz="14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altLang="zh-CN" sz="140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n-US" altLang="zh-CN" sz="14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zh-CN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zh-CN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zh-CN" sz="1400" i="1">
                                        <a:latin typeface="Cambria Math" panose="02040503050406030204" pitchFamily="18" charset="0"/>
                                      </a:rPr>
                                      <m:t>𝑤</m:t>
                                    </m:r>
                                  </m:e>
                                  <m:sub>
                                    <m:r>
                                      <a:rPr lang="en-US" altLang="zh-CN" sz="1400" i="1">
                                        <a:latin typeface="Cambria Math" panose="02040503050406030204" pitchFamily="18" charset="0"/>
                                      </a:rPr>
                                      <m:t>𝑗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en-US" altLang="zh-CN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Sup>
                                      <m:sSubSupPr>
                                        <m:ctrlPr>
                                          <a:rPr lang="en-US" altLang="zh-CN" sz="14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n-US" altLang="zh-CN" sz="1400" i="1">
                                            <a:latin typeface="Cambria Math" panose="02040503050406030204" pitchFamily="18" charset="0"/>
                                          </a:rPr>
                                          <m:t>𝑍</m:t>
                                        </m:r>
                                      </m:e>
                                      <m:sub>
                                        <m:r>
                                          <a:rPr lang="en-US" altLang="zh-CN" sz="14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  <m:sup>
                                        <m:r>
                                          <a:rPr lang="en-US" altLang="zh-CN" sz="1400" b="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  <m:r>
                                      <a:rPr lang="en-US" altLang="zh-CN" sz="14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altLang="zh-CN" sz="14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altLang="zh-CN" sz="1400" i="1">
                                            <a:latin typeface="Cambria Math" panose="02040503050406030204" pitchFamily="18" charset="0"/>
                                          </a:rPr>
                                          <m:t>𝑧</m:t>
                                        </m:r>
                                      </m:e>
                                      <m:sub>
                                        <m:r>
                                          <a:rPr lang="en-US" altLang="zh-CN" sz="1400" i="1">
                                            <a:latin typeface="Cambria Math" panose="02040503050406030204" pitchFamily="18" charset="0"/>
                                          </a:rPr>
                                          <m:t>𝑖𝑗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  <m:sup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zh-CN" altLang="en-US" sz="1400"/>
            </a:p>
          </xdr:txBody>
        </xdr:sp>
      </mc:Choice>
      <mc:Fallback xmlns="">
        <xdr:sp macro="" textlink="">
          <xdr:nvSpPr>
            <xdr:cNvPr id="6" name="文本框 7">
              <a:extLst>
                <a:ext uri="{FF2B5EF4-FFF2-40B4-BE49-F238E27FC236}">
                  <a16:creationId xmlns:a16="http://schemas.microsoft.com/office/drawing/2014/main" id="{A0699FAE-7131-853B-5055-C43C9A644DF1}"/>
                </a:ext>
              </a:extLst>
            </xdr:cNvPr>
            <xdr:cNvSpPr txBox="1"/>
          </xdr:nvSpPr>
          <xdr:spPr>
            <a:xfrm>
              <a:off x="4520419" y="9716087"/>
              <a:ext cx="2208627" cy="173677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just" defTabSz="914400" rtl="0" eaLnBrk="1" latinLnBrk="0" hangingPunct="1">
                <a:lnSpc>
                  <a:spcPct val="200000"/>
                </a:lnSpc>
                <a:defRPr sz="1800" kern="1200">
                  <a:solidFill>
                    <a:srgbClr val="414142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00000"/>
                </a:lnSpc>
              </a:pPr>
              <a:r>
                <a:rPr lang="en-US" altLang="zh-CN" sz="1400" b="0" i="0">
                  <a:latin typeface="Cambria Math" panose="02040503050406030204" pitchFamily="18" charset="0"/>
                </a:rPr>
                <a:t>𝐷_𝑖^+=√(∑_(𝑗=1)^𝑚▒〖𝑤_𝑗 (𝑍_𝑗^+−𝑧_𝑖𝑗 )〗^2 )</a:t>
              </a:r>
              <a:endParaRPr lang="en-US" altLang="zh-CN" sz="1400"/>
            </a:p>
            <a:p>
              <a:pPr>
                <a:lnSpc>
                  <a:spcPct val="100000"/>
                </a:lnSpc>
              </a:pPr>
              <a:r>
                <a:rPr lang="en-US" altLang="zh-CN" sz="1400" i="0">
                  <a:latin typeface="Cambria Math" panose="02040503050406030204" pitchFamily="18" charset="0"/>
                </a:rPr>
                <a:t>𝐷_𝑖^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−</a:t>
              </a:r>
              <a:r>
                <a:rPr lang="en-US" altLang="zh-CN" sz="1400" i="0">
                  <a:latin typeface="Cambria Math" panose="02040503050406030204" pitchFamily="18" charset="0"/>
                </a:rPr>
                <a:t>=√(∑_(𝑗=1)^𝑚▒〖𝑤_𝑗 (𝑍_𝑗^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−</a:t>
              </a:r>
              <a:r>
                <a:rPr lang="en-US" altLang="zh-CN" sz="1400" i="0">
                  <a:latin typeface="Cambria Math" panose="02040503050406030204" pitchFamily="18" charset="0"/>
                </a:rPr>
                <a:t>−𝑧_𝑖𝑗 )〗^2 )</a:t>
              </a:r>
              <a:endParaRPr lang="zh-CN" altLang="en-US" sz="1400"/>
            </a:p>
          </xdr:txBody>
        </xdr:sp>
      </mc:Fallback>
    </mc:AlternateContent>
    <xdr:clientData/>
  </xdr:twoCellAnchor>
  <xdr:twoCellAnchor>
    <xdr:from>
      <xdr:col>7</xdr:col>
      <xdr:colOff>44548</xdr:colOff>
      <xdr:row>46</xdr:row>
      <xdr:rowOff>53926</xdr:rowOff>
    </xdr:from>
    <xdr:to>
      <xdr:col>8</xdr:col>
      <xdr:colOff>563216</xdr:colOff>
      <xdr:row>48</xdr:row>
      <xdr:rowOff>152400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本框 8">
              <a:extLst>
                <a:ext uri="{FF2B5EF4-FFF2-40B4-BE49-F238E27FC236}">
                  <a16:creationId xmlns:a16="http://schemas.microsoft.com/office/drawing/2014/main" id="{9A8A81F1-AB8F-476B-BB87-C227323719F5}"/>
                </a:ext>
              </a:extLst>
            </xdr:cNvPr>
            <xdr:cNvSpPr txBox="1"/>
          </xdr:nvSpPr>
          <xdr:spPr>
            <a:xfrm>
              <a:off x="4543661" y="12086900"/>
              <a:ext cx="1327051" cy="602057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just" defTabSz="914400" rtl="0" eaLnBrk="1" latinLnBrk="0" hangingPunct="1">
                <a:lnSpc>
                  <a:spcPct val="200000"/>
                </a:lnSpc>
                <a:defRPr sz="1800" kern="1200">
                  <a:solidFill>
                    <a:srgbClr val="414142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</m:sup>
                        </m:sSubSup>
                      </m:num>
                      <m:den>
                        <m:sSubSup>
                          <m:sSubSupPr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</m:sup>
                        </m:sSubSup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n-US" altLang="zh-CN" sz="1400"/>
            </a:p>
          </xdr:txBody>
        </xdr:sp>
      </mc:Choice>
      <mc:Fallback xmlns="">
        <xdr:sp macro="" textlink="">
          <xdr:nvSpPr>
            <xdr:cNvPr id="7" name="文本框 8">
              <a:extLst>
                <a:ext uri="{FF2B5EF4-FFF2-40B4-BE49-F238E27FC236}">
                  <a16:creationId xmlns:a16="http://schemas.microsoft.com/office/drawing/2014/main" id="{9A8A81F1-AB8F-476B-BB87-C227323719F5}"/>
                </a:ext>
              </a:extLst>
            </xdr:cNvPr>
            <xdr:cNvSpPr txBox="1"/>
          </xdr:nvSpPr>
          <xdr:spPr>
            <a:xfrm>
              <a:off x="4543661" y="12086900"/>
              <a:ext cx="1327051" cy="602057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just" defTabSz="914400" rtl="0" eaLnBrk="1" latinLnBrk="0" hangingPunct="1">
                <a:lnSpc>
                  <a:spcPct val="200000"/>
                </a:lnSpc>
                <a:defRPr sz="1800" kern="1200">
                  <a:solidFill>
                    <a:srgbClr val="414142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00000"/>
                </a:lnSpc>
              </a:pPr>
              <a:r>
                <a:rPr lang="en-US" altLang="zh-CN" sz="1400" b="0" i="0">
                  <a:latin typeface="Cambria Math" panose="02040503050406030204" pitchFamily="18" charset="0"/>
                </a:rPr>
                <a:t>𝑆_𝑖=(</a:t>
              </a:r>
              <a:r>
                <a:rPr lang="en-US" altLang="zh-CN" sz="1400" i="0">
                  <a:latin typeface="Cambria Math" panose="02040503050406030204" pitchFamily="18" charset="0"/>
                </a:rPr>
                <a:t>𝐷_𝑖^−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)/(</a:t>
              </a:r>
              <a:r>
                <a:rPr lang="en-US" altLang="zh-CN" sz="1400" i="0">
                  <a:latin typeface="Cambria Math" panose="02040503050406030204" pitchFamily="18" charset="0"/>
                </a:rPr>
                <a:t>𝐷_𝑖^+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+</a:t>
              </a:r>
              <a:r>
                <a:rPr lang="en-US" altLang="zh-CN" sz="1400" i="0">
                  <a:latin typeface="Cambria Math" panose="02040503050406030204" pitchFamily="18" charset="0"/>
                </a:rPr>
                <a:t>𝐷_𝑖^− 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)</a:t>
              </a:r>
              <a:endParaRPr lang="en-US" altLang="zh-CN" sz="14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F595-1FAB-4099-AD47-E460AD68F303}">
  <dimension ref="B2:J50"/>
  <sheetViews>
    <sheetView tabSelected="1" topLeftCell="A12" zoomScale="115" zoomScaleNormal="115" workbookViewId="0">
      <selection activeCell="H31" sqref="H31:I31"/>
    </sheetView>
  </sheetViews>
  <sheetFormatPr defaultColWidth="9" defaultRowHeight="19.8" customHeight="1" x14ac:dyDescent="0.25"/>
  <cols>
    <col min="1" max="1" width="9" style="1"/>
    <col min="2" max="2" width="11.6640625" style="1" customWidth="1"/>
    <col min="3" max="7" width="9" style="1"/>
    <col min="8" max="8" width="11.77734375" style="1" bestFit="1" customWidth="1"/>
    <col min="9" max="9" width="41.21875" style="1" customWidth="1"/>
    <col min="10" max="10" width="8.6640625" style="1" customWidth="1"/>
    <col min="11" max="16384" width="9" style="1"/>
  </cols>
  <sheetData>
    <row r="2" spans="2:9" ht="19.8" customHeight="1" x14ac:dyDescent="0.25">
      <c r="B2" s="13" t="s">
        <v>0</v>
      </c>
      <c r="C2" s="13"/>
      <c r="D2" s="13"/>
      <c r="E2" s="13"/>
      <c r="F2" s="13"/>
    </row>
    <row r="3" spans="2:9" ht="27.6" x14ac:dyDescent="0.25">
      <c r="B3" s="5" t="s">
        <v>29</v>
      </c>
      <c r="C3" s="4" t="s">
        <v>5</v>
      </c>
      <c r="D3" s="4" t="s">
        <v>7</v>
      </c>
      <c r="E3" s="4" t="s">
        <v>8</v>
      </c>
      <c r="F3" s="4" t="s">
        <v>9</v>
      </c>
    </row>
    <row r="4" spans="2:9" ht="19.8" customHeight="1" x14ac:dyDescent="0.25">
      <c r="B4" s="3" t="s">
        <v>1</v>
      </c>
      <c r="C4" s="2">
        <v>90</v>
      </c>
      <c r="D4" s="6">
        <v>4</v>
      </c>
      <c r="E4" s="2">
        <v>35</v>
      </c>
      <c r="F4" s="2">
        <v>15</v>
      </c>
      <c r="H4" s="2" t="s">
        <v>10</v>
      </c>
      <c r="I4" s="2" t="s">
        <v>12</v>
      </c>
    </row>
    <row r="5" spans="2:9" ht="19.8" customHeight="1" x14ac:dyDescent="0.25">
      <c r="B5" s="3" t="s">
        <v>2</v>
      </c>
      <c r="C5" s="2">
        <v>85</v>
      </c>
      <c r="D5" s="6">
        <v>3</v>
      </c>
      <c r="E5" s="2">
        <v>50</v>
      </c>
      <c r="F5" s="2">
        <v>21</v>
      </c>
      <c r="H5" s="2" t="s">
        <v>11</v>
      </c>
      <c r="I5" s="2" t="s">
        <v>6</v>
      </c>
    </row>
    <row r="6" spans="2:9" ht="19.8" customHeight="1" x14ac:dyDescent="0.25">
      <c r="B6" s="3" t="s">
        <v>3</v>
      </c>
      <c r="C6" s="2">
        <v>92</v>
      </c>
      <c r="D6" s="6">
        <v>4.5</v>
      </c>
      <c r="E6" s="2">
        <v>40</v>
      </c>
      <c r="F6" s="2">
        <v>19</v>
      </c>
      <c r="H6" s="2" t="s">
        <v>13</v>
      </c>
      <c r="I6" s="2" t="s">
        <v>15</v>
      </c>
    </row>
    <row r="7" spans="2:9" ht="19.8" customHeight="1" x14ac:dyDescent="0.25">
      <c r="B7" s="3" t="s">
        <v>4</v>
      </c>
      <c r="C7" s="2">
        <v>88</v>
      </c>
      <c r="D7" s="6">
        <v>3.5</v>
      </c>
      <c r="E7" s="2">
        <v>38</v>
      </c>
      <c r="F7" s="2">
        <v>17</v>
      </c>
      <c r="H7" s="2" t="s">
        <v>14</v>
      </c>
      <c r="I7" s="2" t="s">
        <v>45</v>
      </c>
    </row>
    <row r="8" spans="2:9" ht="19.8" customHeight="1" x14ac:dyDescent="0.25">
      <c r="B8" s="8" t="s">
        <v>18</v>
      </c>
      <c r="C8" s="2">
        <f>MAX(C4:C7)</f>
        <v>92</v>
      </c>
      <c r="D8" s="2">
        <f>MAX(D4:D7)</f>
        <v>4.5</v>
      </c>
      <c r="E8" s="2">
        <f>MAX(E4:E7)</f>
        <v>50</v>
      </c>
      <c r="F8" s="2">
        <f>MAX(F4:F7)</f>
        <v>21</v>
      </c>
    </row>
    <row r="9" spans="2:9" ht="19.8" customHeight="1" x14ac:dyDescent="0.25">
      <c r="B9" s="8" t="s">
        <v>19</v>
      </c>
      <c r="C9" s="2">
        <f>MIN(C4:C7)</f>
        <v>85</v>
      </c>
      <c r="D9" s="2">
        <f>MIN(D4:D7)</f>
        <v>3</v>
      </c>
      <c r="E9" s="2">
        <f>MIN(E4:E7)</f>
        <v>35</v>
      </c>
      <c r="F9" s="2">
        <f>MIN(F4:F7)</f>
        <v>15</v>
      </c>
    </row>
    <row r="10" spans="2:9" ht="19.8" customHeight="1" x14ac:dyDescent="0.25">
      <c r="B10" s="8" t="s">
        <v>20</v>
      </c>
      <c r="C10" s="2">
        <f>C8-C9</f>
        <v>7</v>
      </c>
      <c r="D10" s="2">
        <f t="shared" ref="D10:F10" si="0">D8-D9</f>
        <v>1.5</v>
      </c>
      <c r="E10" s="2">
        <f t="shared" si="0"/>
        <v>15</v>
      </c>
      <c r="F10" s="2">
        <f t="shared" si="0"/>
        <v>6</v>
      </c>
    </row>
    <row r="11" spans="2:9" ht="19.8" customHeight="1" x14ac:dyDescent="0.25">
      <c r="B11" s="8" t="s">
        <v>22</v>
      </c>
      <c r="C11" s="2" t="s">
        <v>21</v>
      </c>
      <c r="D11" s="2" t="s">
        <v>21</v>
      </c>
      <c r="E11" s="2">
        <f>MAX(ABS(E8-40),ABS(E9-40))</f>
        <v>10</v>
      </c>
      <c r="F11" s="2">
        <f>MAX(16-F9,F8-18)</f>
        <v>3</v>
      </c>
    </row>
    <row r="13" spans="2:9" ht="19.8" customHeight="1" x14ac:dyDescent="0.25">
      <c r="B13" s="7" t="s">
        <v>16</v>
      </c>
      <c r="C13" s="14" t="s">
        <v>17</v>
      </c>
      <c r="D13" s="14"/>
    </row>
    <row r="14" spans="2:9" ht="19.8" customHeight="1" x14ac:dyDescent="0.25">
      <c r="B14" s="13" t="s">
        <v>0</v>
      </c>
      <c r="C14" s="13"/>
      <c r="D14" s="13"/>
      <c r="E14" s="13"/>
      <c r="F14" s="13"/>
    </row>
    <row r="15" spans="2:9" ht="27.6" x14ac:dyDescent="0.25">
      <c r="B15" s="5" t="s">
        <v>29</v>
      </c>
      <c r="C15" s="4" t="s">
        <v>5</v>
      </c>
      <c r="D15" s="4" t="s">
        <v>7</v>
      </c>
      <c r="E15" s="4" t="s">
        <v>8</v>
      </c>
      <c r="F15" s="4" t="s">
        <v>9</v>
      </c>
    </row>
    <row r="16" spans="2:9" ht="19.8" customHeight="1" x14ac:dyDescent="0.25">
      <c r="B16" s="3" t="s">
        <v>1</v>
      </c>
      <c r="C16" s="2">
        <f>C4</f>
        <v>90</v>
      </c>
      <c r="D16" s="6">
        <f>$D$8-D4</f>
        <v>0.5</v>
      </c>
      <c r="E16" s="2">
        <f>1-(ABS(E4-40)/$E$11)</f>
        <v>0.5</v>
      </c>
      <c r="F16" s="9">
        <f>IF(F4&lt;16,1-((16-F4)/$F$11),IF(F4&gt;18,1-((F4-18)/$F$11),1))</f>
        <v>0.66666666666666674</v>
      </c>
    </row>
    <row r="17" spans="2:10" ht="19.8" customHeight="1" x14ac:dyDescent="0.25">
      <c r="B17" s="3" t="s">
        <v>2</v>
      </c>
      <c r="C17" s="2">
        <f>C5</f>
        <v>85</v>
      </c>
      <c r="D17" s="6">
        <f>$D$8-D5</f>
        <v>1.5</v>
      </c>
      <c r="E17" s="2">
        <f>1-(ABS(E5-40)/$E$11)</f>
        <v>0</v>
      </c>
      <c r="F17" s="9">
        <f t="shared" ref="F17:F19" si="1">IF(F5&lt;16,1-((16-F5)/$F$11),IF(F5&gt;18,1-((F5-18)/$F$11),1))</f>
        <v>0</v>
      </c>
    </row>
    <row r="18" spans="2:10" ht="19.8" customHeight="1" x14ac:dyDescent="0.25">
      <c r="B18" s="3" t="s">
        <v>3</v>
      </c>
      <c r="C18" s="2">
        <f>C6</f>
        <v>92</v>
      </c>
      <c r="D18" s="6">
        <f>$D$8-D6</f>
        <v>0</v>
      </c>
      <c r="E18" s="2">
        <f>1-(ABS(E6-40)/$E$11)</f>
        <v>1</v>
      </c>
      <c r="F18" s="9">
        <f t="shared" si="1"/>
        <v>0.66666666666666674</v>
      </c>
    </row>
    <row r="19" spans="2:10" ht="19.8" customHeight="1" x14ac:dyDescent="0.25">
      <c r="B19" s="3" t="s">
        <v>4</v>
      </c>
      <c r="C19" s="2">
        <f>C7</f>
        <v>88</v>
      </c>
      <c r="D19" s="6">
        <f>$D$8-D7</f>
        <v>1</v>
      </c>
      <c r="E19" s="2">
        <f>1-(ABS(E7-40)/$E$11)</f>
        <v>0.8</v>
      </c>
      <c r="F19" s="9">
        <f t="shared" si="1"/>
        <v>1</v>
      </c>
    </row>
    <row r="20" spans="2:10" ht="19.8" customHeight="1" x14ac:dyDescent="0.25">
      <c r="B20" s="8" t="s">
        <v>25</v>
      </c>
      <c r="C20" s="2">
        <f>SQRT(SUMSQ(C16:C19))</f>
        <v>177.57533612526262</v>
      </c>
      <c r="D20" s="2">
        <f>SQRT(SUMSQ(D16:D19))</f>
        <v>1.8708286933869707</v>
      </c>
      <c r="E20" s="2">
        <f>SQRT(SUMSQ(E16:E19))</f>
        <v>1.374772708486752</v>
      </c>
      <c r="F20" s="2">
        <f>SQRT(SUMSQ(F16:F19))</f>
        <v>1.3743685418725535</v>
      </c>
    </row>
    <row r="22" spans="2:10" ht="19.8" customHeight="1" x14ac:dyDescent="0.25">
      <c r="B22" s="7" t="s">
        <v>23</v>
      </c>
      <c r="C22" s="14" t="s">
        <v>24</v>
      </c>
      <c r="D22" s="14"/>
    </row>
    <row r="23" spans="2:10" ht="19.8" customHeight="1" x14ac:dyDescent="0.25">
      <c r="B23" s="13" t="s">
        <v>0</v>
      </c>
      <c r="C23" s="13"/>
      <c r="D23" s="13"/>
      <c r="E23" s="13"/>
      <c r="F23" s="13"/>
    </row>
    <row r="24" spans="2:10" ht="27.6" x14ac:dyDescent="0.25">
      <c r="B24" s="5" t="s">
        <v>29</v>
      </c>
      <c r="C24" s="4" t="s">
        <v>5</v>
      </c>
      <c r="D24" s="4" t="s">
        <v>7</v>
      </c>
      <c r="E24" s="4" t="s">
        <v>8</v>
      </c>
      <c r="F24" s="4" t="s">
        <v>9</v>
      </c>
    </row>
    <row r="25" spans="2:10" ht="19.8" customHeight="1" x14ac:dyDescent="0.25">
      <c r="B25" s="3" t="s">
        <v>1</v>
      </c>
      <c r="C25" s="9">
        <f>C16/$C$20</f>
        <v>0.50682714144780505</v>
      </c>
      <c r="D25" s="9">
        <f>D16/$D$20</f>
        <v>0.2672612419124244</v>
      </c>
      <c r="E25" s="9">
        <f>E16/$E$20</f>
        <v>0.36369648372665397</v>
      </c>
      <c r="F25" s="9">
        <f>F16/$F$20</f>
        <v>0.48507125007266599</v>
      </c>
      <c r="J25" s="11"/>
    </row>
    <row r="26" spans="2:10" ht="19.8" customHeight="1" x14ac:dyDescent="0.25">
      <c r="B26" s="3" t="s">
        <v>2</v>
      </c>
      <c r="C26" s="9">
        <f>C17/$C$20</f>
        <v>0.47867007803403805</v>
      </c>
      <c r="D26" s="9">
        <f>D17/$D$20</f>
        <v>0.80178372573727319</v>
      </c>
      <c r="E26" s="9">
        <f>E17/$E$20</f>
        <v>0</v>
      </c>
      <c r="F26" s="9">
        <f>F17/$F$20</f>
        <v>0</v>
      </c>
      <c r="J26" s="11"/>
    </row>
    <row r="27" spans="2:10" ht="19.8" customHeight="1" x14ac:dyDescent="0.25">
      <c r="B27" s="3" t="s">
        <v>3</v>
      </c>
      <c r="C27" s="9">
        <f>C18/$C$20</f>
        <v>0.51808996681331176</v>
      </c>
      <c r="D27" s="9">
        <f>D18/$D$20</f>
        <v>0</v>
      </c>
      <c r="E27" s="9">
        <f>E18/$E$20</f>
        <v>0.72739296745330795</v>
      </c>
      <c r="F27" s="9">
        <f>F18/$F$20</f>
        <v>0.48507125007266599</v>
      </c>
      <c r="J27" s="11"/>
    </row>
    <row r="28" spans="2:10" ht="19.8" customHeight="1" x14ac:dyDescent="0.25">
      <c r="B28" s="3" t="s">
        <v>4</v>
      </c>
      <c r="C28" s="9">
        <f>C19/$C$20</f>
        <v>0.49556431608229823</v>
      </c>
      <c r="D28" s="9">
        <f>D19/$D$20</f>
        <v>0.53452248382484879</v>
      </c>
      <c r="E28" s="9">
        <f>E19/$E$20</f>
        <v>0.58191437396264634</v>
      </c>
      <c r="F28" s="9">
        <f>F19/$F$20</f>
        <v>0.72760687510899891</v>
      </c>
      <c r="J28" s="11"/>
    </row>
    <row r="30" spans="2:10" ht="19.8" customHeight="1" x14ac:dyDescent="0.25">
      <c r="B30" s="7" t="s">
        <v>26</v>
      </c>
      <c r="C30" s="12" t="s">
        <v>27</v>
      </c>
      <c r="D30" s="12"/>
      <c r="E30" s="12"/>
    </row>
    <row r="31" spans="2:10" ht="19.8" customHeight="1" x14ac:dyDescent="0.25">
      <c r="B31" s="3" t="s">
        <v>28</v>
      </c>
      <c r="C31" s="9">
        <f>MAX(C25:C28)</f>
        <v>0.51808996681331176</v>
      </c>
      <c r="D31" s="9">
        <f>MAX(D25:D28)</f>
        <v>0.80178372573727319</v>
      </c>
      <c r="E31" s="9">
        <f>MAX(E25:E28)</f>
        <v>0.72739296745330795</v>
      </c>
      <c r="F31" s="9">
        <f>MAX(F25:F28)</f>
        <v>0.72760687510899891</v>
      </c>
      <c r="H31" s="15" t="s">
        <v>38</v>
      </c>
      <c r="I31" s="15"/>
    </row>
    <row r="32" spans="2:10" ht="19.8" customHeight="1" x14ac:dyDescent="0.25">
      <c r="B32" s="3" t="s">
        <v>30</v>
      </c>
      <c r="C32" s="9">
        <f>MIN(C25:C28)</f>
        <v>0.47867007803403805</v>
      </c>
      <c r="D32" s="9">
        <f>MIN(D25:D28)</f>
        <v>0</v>
      </c>
      <c r="E32" s="9">
        <f>MIN(E25:E28)</f>
        <v>0</v>
      </c>
      <c r="F32" s="9">
        <f>MIN(F25:F28)</f>
        <v>0</v>
      </c>
    </row>
    <row r="34" spans="2:9" ht="19.8" customHeight="1" x14ac:dyDescent="0.25">
      <c r="B34" s="7" t="s">
        <v>31</v>
      </c>
      <c r="C34" s="14" t="s">
        <v>32</v>
      </c>
      <c r="D34" s="14"/>
      <c r="E34"/>
    </row>
    <row r="35" spans="2:9" ht="27.6" x14ac:dyDescent="0.25">
      <c r="B35" s="5" t="s">
        <v>33</v>
      </c>
      <c r="C35" s="4" t="s">
        <v>5</v>
      </c>
      <c r="D35" s="4" t="s">
        <v>7</v>
      </c>
      <c r="E35" s="4" t="s">
        <v>8</v>
      </c>
      <c r="F35" s="4" t="s">
        <v>9</v>
      </c>
      <c r="H35" s="15" t="s">
        <v>35</v>
      </c>
      <c r="I35" s="15"/>
    </row>
    <row r="36" spans="2:9" ht="19.8" customHeight="1" x14ac:dyDescent="0.25">
      <c r="B36" s="3" t="s">
        <v>34</v>
      </c>
      <c r="C36" s="2">
        <v>0.25</v>
      </c>
      <c r="D36" s="2">
        <v>0.25</v>
      </c>
      <c r="E36" s="2">
        <v>0.25</v>
      </c>
      <c r="F36" s="2">
        <v>0.25</v>
      </c>
    </row>
    <row r="38" spans="2:9" ht="19.8" customHeight="1" x14ac:dyDescent="0.25">
      <c r="B38" s="7" t="s">
        <v>36</v>
      </c>
      <c r="C38" s="12" t="s">
        <v>37</v>
      </c>
      <c r="D38" s="12"/>
      <c r="E38" s="12"/>
      <c r="F38" s="12"/>
    </row>
    <row r="39" spans="2:9" ht="24" customHeight="1" x14ac:dyDescent="0.25">
      <c r="B39" s="3"/>
      <c r="C39" s="4" t="s">
        <v>39</v>
      </c>
      <c r="D39" s="4" t="s">
        <v>40</v>
      </c>
      <c r="E39"/>
      <c r="F39"/>
    </row>
    <row r="40" spans="2:9" ht="19.8" customHeight="1" x14ac:dyDescent="0.25">
      <c r="B40" s="3" t="s">
        <v>1</v>
      </c>
      <c r="C40" s="9">
        <f>SQRT($C$36*($C$31-C25)^2+$D$36*($D$31-D25)^2+$E$36*($E$31-E25)^2+$F$36*($F$31-F25)^2)</f>
        <v>0.34530414080792476</v>
      </c>
      <c r="D40" s="9">
        <f>SQRT($C$36*($C$32-C25)^2+$D$36*($D$32-D25)^2+$E$36*($E$32-E25)^2+$F$36*($F$32-F25)^2)</f>
        <v>0.33158356472043721</v>
      </c>
      <c r="E40"/>
      <c r="F40"/>
    </row>
    <row r="41" spans="2:9" ht="19.8" customHeight="1" x14ac:dyDescent="0.25">
      <c r="B41" s="3" t="s">
        <v>2</v>
      </c>
      <c r="C41" s="9">
        <f t="shared" ref="C41" si="2">SQRT($C$36*($C$31-C26)^2+$D$36*($D$31-D26)^2+$E$36*($E$31-E26)^2+$F$36*($F$31-F26)^2)</f>
        <v>0.51479758678479204</v>
      </c>
      <c r="D41" s="9">
        <f t="shared" ref="D41:D43" si="3">SQRT($C$36*($C$32-C26)^2+$D$36*($D$32-D26)^2+$E$36*($E$32-E26)^2+$F$36*($F$32-F26)^2)</f>
        <v>0.40089186286863659</v>
      </c>
      <c r="E41"/>
      <c r="F41"/>
    </row>
    <row r="42" spans="2:9" ht="19.8" customHeight="1" x14ac:dyDescent="0.25">
      <c r="B42" s="3" t="s">
        <v>3</v>
      </c>
      <c r="C42" s="9">
        <f t="shared" ref="C42" si="4">SQRT($C$36*($C$31-C27)^2+$D$36*($D$31-D27)^2+$E$36*($E$31-E27)^2+$F$36*($F$31-F27)^2)</f>
        <v>0.41883190908433293</v>
      </c>
      <c r="D42" s="9">
        <f t="shared" si="3"/>
        <v>0.43759244005665771</v>
      </c>
      <c r="E42"/>
      <c r="F42"/>
    </row>
    <row r="43" spans="2:9" ht="19.8" customHeight="1" x14ac:dyDescent="0.25">
      <c r="B43" s="3" t="s">
        <v>4</v>
      </c>
      <c r="C43" s="9">
        <f t="shared" ref="C43" si="5">SQRT($C$36*($C$31-C28)^2+$D$36*($D$31-D28)^2+$E$36*($E$31-E28)^2+$F$36*($F$31-F28)^2)</f>
        <v>0.15256146100297432</v>
      </c>
      <c r="D43" s="9">
        <f t="shared" si="3"/>
        <v>0.53713029246257793</v>
      </c>
      <c r="E43"/>
      <c r="F43"/>
    </row>
    <row r="45" spans="2:9" ht="19.8" customHeight="1" x14ac:dyDescent="0.25">
      <c r="B45" s="7" t="s">
        <v>41</v>
      </c>
      <c r="C45" s="12" t="s">
        <v>42</v>
      </c>
      <c r="D45" s="12"/>
      <c r="E45"/>
      <c r="F45"/>
    </row>
    <row r="46" spans="2:9" ht="19.8" customHeight="1" x14ac:dyDescent="0.25">
      <c r="B46" s="3"/>
      <c r="C46" s="4" t="s">
        <v>43</v>
      </c>
      <c r="D46" s="4" t="s">
        <v>44</v>
      </c>
      <c r="E46"/>
    </row>
    <row r="47" spans="2:9" ht="19.8" customHeight="1" x14ac:dyDescent="0.25">
      <c r="B47" s="3" t="s">
        <v>1</v>
      </c>
      <c r="C47" s="9">
        <f>D40/(C40+D40)</f>
        <v>0.48986495398318869</v>
      </c>
      <c r="D47" s="10">
        <f>RANK(C47,$C$47:$C$50)</f>
        <v>3</v>
      </c>
      <c r="E47"/>
    </row>
    <row r="48" spans="2:9" ht="19.8" customHeight="1" x14ac:dyDescent="0.25">
      <c r="B48" s="3" t="s">
        <v>2</v>
      </c>
      <c r="C48" s="9">
        <f>D41/(C41+D41)</f>
        <v>0.43780330003842094</v>
      </c>
      <c r="D48" s="10">
        <f>RANK(C48,$C$47:$C$50)</f>
        <v>4</v>
      </c>
      <c r="E48"/>
    </row>
    <row r="49" spans="2:5" ht="19.8" customHeight="1" x14ac:dyDescent="0.25">
      <c r="B49" s="3" t="s">
        <v>3</v>
      </c>
      <c r="C49" s="9">
        <f>D42/(C42+D42)</f>
        <v>0.51095282437447154</v>
      </c>
      <c r="D49" s="10">
        <f>RANK(C49,$C$47:$C$50)</f>
        <v>2</v>
      </c>
      <c r="E49"/>
    </row>
    <row r="50" spans="2:5" ht="19.8" customHeight="1" x14ac:dyDescent="0.25">
      <c r="B50" s="3" t="s">
        <v>4</v>
      </c>
      <c r="C50" s="9">
        <f>D43/(C43+D43)</f>
        <v>0.77879761467875197</v>
      </c>
      <c r="D50" s="10">
        <f>RANK(C50,$C$47:$C$50)</f>
        <v>1</v>
      </c>
      <c r="E50"/>
    </row>
  </sheetData>
  <mergeCells count="11">
    <mergeCell ref="H31:I31"/>
    <mergeCell ref="C45:D45"/>
    <mergeCell ref="C34:D34"/>
    <mergeCell ref="H35:I35"/>
    <mergeCell ref="C38:F38"/>
    <mergeCell ref="C30:E30"/>
    <mergeCell ref="B2:F2"/>
    <mergeCell ref="C13:D13"/>
    <mergeCell ref="B14:F14"/>
    <mergeCell ref="C22:D22"/>
    <mergeCell ref="B23:F2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Topsis法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寸 三</cp:lastModifiedBy>
  <dcterms:created xsi:type="dcterms:W3CDTF">2015-06-05T18:19:34Z</dcterms:created>
  <dcterms:modified xsi:type="dcterms:W3CDTF">2025-07-20T14:23:40Z</dcterms:modified>
</cp:coreProperties>
</file>